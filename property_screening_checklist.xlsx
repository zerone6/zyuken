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81a85e19c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ed6a79ff58cf4e4f"/>
    <x:sheet xmlns:r="http://schemas.openxmlformats.org/officeDocument/2006/relationships" name="Reference" sheetId="2" r:id="R3eca667aa3fd4cb2"/>
    <x:sheet xmlns:r="http://schemas.openxmlformats.org/officeDocument/2006/relationships" name="Properties" sheetId="3" r:id="R1f367d7e89684c0a"/>
    <x:sheet xmlns:r="http://schemas.openxmlformats.org/officeDocument/2006/relationships" name="Score Guide" sheetId="4" r:id="R652b7a1a0b4f4cdd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C3" authorId="0">
      <x:text>
        <x:r>
          <x:t>Reference 시트 값 중 하나와 정확히 같게 입력</x:t>
        </x:r>
      </x:text>
    </x:comment>
    <x:comment ref="D3" authorId="0">
      <x:text>
        <x:r>
          <x:t>Reference 시트 값 중 하나: 7분 이내 / 12~15분</x:t>
        </x:r>
      </x:text>
    </x:comment>
    <x:comment ref="E3" authorId="0">
      <x:text>
        <x:r>
          <x:t>표면수익률은 소수로 입력. 예: 6.5% =&gt; 0.065</x:t>
        </x:r>
      </x:text>
    </x:comment>
    <x:comment ref="H3" authorId="0">
      <x:text>
        <x:r>
          <x:t>세전 연간 CF(예상치)를 직접 입력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"/>
  </x:numFmts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color rgb="000000FF"/>
    </x:font>
    <x:font>
      <x:b/>
    </x:font>
    <x:font>
      <x:color rgb="00000000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AF2FF"/>
      </x:patternFill>
    </x:fill>
    <x:fill>
      <x:patternFill patternType="solid">
        <x:fgColor rgb="00D9F0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/>
    <x:xf numFmtId="0" fontId="0" fillId="3" borderId="0" xfId="0"/>
    <x:xf numFmtId="164" fontId="2" fillId="4" borderId="0" xfId="0"/>
    <x:xf numFmtId="3" fontId="2" fillId="4" borderId="0" xfId="0"/>
    <x:xf numFmtId="0" fontId="2" fillId="4" borderId="0" xfId="0"/>
    <x:xf numFmtId="1" fontId="0" fillId="0" borderId="0" xfId="0"/>
    <x:xf numFmtId="0" fontId="3" fillId="0" borderId="0" xfId="0"/>
    <x:xf numFmtId="0" fontId="0" fillId="0" borderId="0" xfId="0" applyAlignment="1">
      <x:alignment vertical="top" wrapText="1"/>
    </x:xf>
    <x:xf numFmtId="3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65" fontId="4" fillId="5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751cf634f4082" /><Relationship Type="http://schemas.openxmlformats.org/officeDocument/2006/relationships/theme" Target="/xl/theme/theme1.xml" Id="Ra0b79265ac9849a6" /><Relationship Type="http://schemas.openxmlformats.org/officeDocument/2006/relationships/sharedStrings" Target="/xl/sharedStrings.xml" Id="R85ddad14937c409b" /><Relationship Type="http://schemas.openxmlformats.org/officeDocument/2006/relationships/worksheet" Target="/xl/worksheets/sheet1.xml" Id="Red6a79ff58cf4e4f" /><Relationship Type="http://schemas.openxmlformats.org/officeDocument/2006/relationships/worksheet" Target="/xl/worksheets/sheet2.xml" Id="R3eca667aa3fd4cb2" /><Relationship Type="http://schemas.openxmlformats.org/officeDocument/2006/relationships/worksheet" Target="/xl/worksheets/sheet3.xml" Id="R1f367d7e89684c0a" /><Relationship Type="http://schemas.openxmlformats.org/officeDocument/2006/relationships/worksheet" Target="/xl/worksheets/sheet4.xml" Id="R652b7a1a0b4f4cdd" /><Relationship Type="http://schemas.microsoft.com/office/2017/10/relationships/person" Target="/xl/persons/person.xml" Id="R9b4ece8078ea4a21" /></Relationships>
</file>

<file path=xl/persons/person.xml><?xml version="1.0" encoding="utf-8"?>
<xltc:personList xmlns:xltc="http://schemas.microsoft.com/office/spreadsheetml/2018/threadedcomments">
  <xltc:person displayName="OpenAI" id="{726E4C5A-411B-BD5B-EEAD-F5C18E2D434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3f5557dadf184b85" /><Relationship Type="http://schemas.openxmlformats.org/officeDocument/2006/relationships/vmlDrawing" Target="/xl/drawings/vmldrawing.vml" Id="R84b8fd1d1dda40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6" customWidth="1"/>
    <x:col min="3" max="3" width="14" customWidth="1"/>
    <x:col min="4" max="4" width="14" customWidth="1"/>
  </x:cols>
  <x:sheetData>
    <x:row r="1">
      <x:c r="A1" s="1" t="inlineStr">
        <x:is>
          <x:t xml:space="preserve">1호 법인 투자 스크리닝 설정</x:t>
        </x:is>
      </x:c>
    </x:row>
    <x:row r="3">
      <x:c r="A3" s="2" t="inlineStr">
        <x:is>
          <x:t xml:space="preserve">목표 최소 표면수익률</x:t>
        </x:is>
      </x:c>
      <x:c r="B3" s="3" t="n">
        <x:v>0.064</x:v>
      </x:c>
      <x:c r="C3" t="inlineStr">
        <x:is>
          <x:t xml:space="preserve">입력</x:t>
        </x:is>
      </x:c>
    </x:row>
    <x:row r="4">
      <x:c r="A4" s="2" t="inlineStr">
        <x:is>
          <x:t xml:space="preserve">목표 최대 역거리(분)</x:t>
        </x:is>
      </x:c>
      <x:c r="B4" s="4" t="n">
        <x:v>12</x:v>
      </x:c>
      <x:c r="C4" t="inlineStr">
        <x:is>
          <x:t xml:space="preserve">입력</x:t>
        </x:is>
      </x:c>
    </x:row>
    <x:row r="5">
      <x:c r="A5" s="2" t="inlineStr">
        <x:is>
          <x:t xml:space="preserve">목표 최소 평균 전용면적(㎡)</x:t>
        </x:is>
      </x:c>
      <x:c r="B5" s="4" t="n">
        <x:v>20</x:v>
      </x:c>
      <x:c r="C5" t="inlineStr">
        <x:is>
          <x:t xml:space="preserve">입력</x:t>
        </x:is>
      </x:c>
    </x:row>
    <x:row r="6">
      <x:c r="A6" s="2" t="inlineStr">
        <x:is>
          <x:t xml:space="preserve">목표 최소 연간 CF(엔)</x:t>
        </x:is>
      </x:c>
      <x:c r="B6" s="4" t="n">
        <x:v>2000000</x:v>
      </x:c>
      <x:c r="C6" t="inlineStr">
        <x:is>
          <x:t xml:space="preserve">입력</x:t>
        </x:is>
      </x:c>
    </x:row>
    <x:row r="7">
      <x:c r="A7" s="2" t="inlineStr">
        <x:is>
          <x:t xml:space="preserve">경고 금리</x:t>
        </x:is>
      </x:c>
      <x:c r="B7" s="3" t="n">
        <x:v>0.025</x:v>
      </x:c>
      <x:c r="C7" t="inlineStr">
        <x:is>
          <x:t xml:space="preserve">입력</x:t>
        </x:is>
      </x:c>
    </x:row>
    <x:row r="10">
      <x:c r="A10" s="1" t="inlineStr">
        <x:is>
          <x:t xml:space="preserve">가중치</x:t>
        </x:is>
      </x:c>
    </x:row>
    <x:row r="11">
      <x:c r="A11" s="2" t="inlineStr">
        <x:is>
          <x:t xml:space="preserve">표면수익률</x:t>
        </x:is>
      </x:c>
      <x:c r="B11" s="5" t="n">
        <x:v>30</x:v>
      </x:c>
    </x:row>
    <x:row r="12">
      <x:c r="A12" s="2" t="inlineStr">
        <x:is>
          <x:t xml:space="preserve">역거리</x:t>
        </x:is>
      </x:c>
      <x:c r="B12" s="5" t="n">
        <x:v>20</x:v>
      </x:c>
    </x:row>
    <x:row r="13">
      <x:c r="A13" s="2" t="inlineStr">
        <x:is>
          <x:t xml:space="preserve">전용면적</x:t>
        </x:is>
      </x:c>
      <x:c r="B13" s="5" t="n">
        <x:v>15</x:v>
      </x:c>
    </x:row>
    <x:row r="14">
      <x:c r="A14" s="2" t="inlineStr">
        <x:is>
          <x:t xml:space="preserve">연간CF</x:t>
        </x:is>
      </x:c>
      <x:c r="B14" s="5" t="n">
        <x:v>20</x:v>
      </x:c>
    </x:row>
    <x:row r="15">
      <x:c r="A15" s="2" t="inlineStr">
        <x:is>
          <x:t xml:space="preserve">벤치마크 적합성</x:t>
        </x:is>
      </x:c>
      <x:c r="B15" s="5" t="n">
        <x:v>15</x:v>
      </x:c>
    </x:row>
    <x:row r="17">
      <x:c r="A17" t="inlineStr">
        <x:is>
          <x:t xml:space="preserve">가중치 합계</x:t>
        </x:is>
      </x:c>
      <x:c r="B17" s="6">
        <x:f>SUM(B11:B15)</x:f>
        <x:v>100</x:v>
      </x:c>
    </x:row>
    <x:row r="19">
      <x:c r="A19" s="7" t="inlineStr">
        <x:is>
          <x:t xml:space="preserve">사용법</x:t>
        </x:is>
      </x:c>
    </x:row>
    <x:row r="20">
      <x:c r="A20" t="inlineStr">
        <x:is>
          <x:t xml:space="preserve">1) Properties 시트의 파란 칸에 물건 정보를 입력</x:t>
        </x:is>
      </x:c>
    </x:row>
    <x:row r="21">
      <x:c r="A21" t="inlineStr">
        <x:is>
          <x:t xml:space="preserve">2) 지역/역 + 도보구간은 Reference 시트와 동일한 텍스트로 선택/입력</x:t>
        </x:is>
      </x:c>
    </x:row>
    <x:row r="22">
      <x:c r="A22" t="inlineStr">
        <x:is>
          <x:t xml:space="preserve">3) 총점은 참고용이고, 실제 판단은 토지 비율/설계/출구까지 별도 검토</x:t>
        </x:is>
      </x:c>
    </x:row>
  </x:sheetData>
  <x:mergeCells>
    <x:mergeCell ref="A1:D1"/>
    <x:mergeCell ref="A10:D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0" customWidth="1"/>
    <x:col min="3" max="3" width="18" customWidth="1"/>
    <x:col min="4" max="4" width="12" customWidth="1"/>
    <x:col min="5" max="5" width="14" customWidth="1"/>
    <x:col min="6" max="6" width="14" customWidth="1"/>
    <x:col min="7" max="7" width="14" customWidth="1"/>
    <x:col min="8" max="8" width="14" customWidth="1"/>
    <x:col min="9" max="9" width="18" customWidth="1"/>
    <x:col min="10" max="10" width="60" customWidth="1"/>
  </x:cols>
  <x:sheetData>
    <x:row r="1">
      <x:c r="A1" s="1" t="inlineStr">
        <x:is>
          <x:t xml:space="preserve">Key</x:t>
        </x:is>
      </x:c>
      <x:c r="B1" s="1" t="inlineStr">
        <x:is>
          <x:t xml:space="preserve">권역</x:t>
        </x:is>
      </x:c>
      <x:c r="C1" s="1" t="inlineStr">
        <x:is>
          <x:t xml:space="preserve">지역/역</x:t>
        </x:is>
      </x:c>
      <x:c r="D1" s="1" t="inlineStr">
        <x:is>
          <x:t xml:space="preserve">도보구간</x:t>
        </x:is>
      </x:c>
      <x:c r="E1" s="1" t="inlineStr">
        <x:is>
          <x:t xml:space="preserve">지가(엔/㎡)</x:t>
        </x:is>
      </x:c>
      <x:c r="F1" s="1" t="inlineStr">
        <x:is>
          <x:t xml:space="preserve">1K임대료(엔)</x:t>
        </x:is>
      </x:c>
      <x:c r="G1" s="1" t="inlineStr">
        <x:is>
          <x:t xml:space="preserve">목표수익률 하한</x:t>
        </x:is>
      </x:c>
      <x:c r="H1" s="1" t="inlineStr">
        <x:is>
          <x:t xml:space="preserve">목표수익률 상한</x:t>
        </x:is>
      </x:c>
      <x:c r="I1" s="1" t="inlineStr">
        <x:is>
          <x:t xml:space="preserve">해석</x:t>
        </x:is>
      </x:c>
      <x:c r="J1" s="1" t="inlineStr">
        <x:is>
          <x:t xml:space="preserve">Source URL</x:t>
        </x:is>
      </x:c>
    </x:row>
    <x:row r="2">
      <x:c r="A2" s="8" t="inlineStr">
        <x:is>
          <x:t xml:space="preserve">和光市 / 和光市|7분 이내</x:t>
        </x:is>
      </x:c>
      <x:c r="B2" s="8" t="inlineStr">
        <x:is>
          <x:t xml:space="preserve">사이타마</x:t>
        </x:is>
      </x:c>
      <x:c r="C2" s="8" t="inlineStr">
        <x:is>
          <x:t xml:space="preserve">和光市 / 和光市</x:t>
        </x:is>
      </x:c>
      <x:c r="D2" s="8" t="inlineStr">
        <x:is>
          <x:t xml:space="preserve">7분 이내</x:t>
        </x:is>
      </x:c>
      <x:c r="E2" s="9" t="n">
        <x:v>341076</x:v>
      </x:c>
      <x:c r="F2" s="9" t="n">
        <x:v>73300</x:v>
      </x:c>
      <x:c r="G2" s="10" t="n">
        <x:v>0.057</x:v>
      </x:c>
      <x:c r="H2" s="10" t="n">
        <x:v>0.061</x:v>
      </x:c>
      <x:c r="I2" s="8" t="inlineStr">
        <x:is>
          <x:t xml:space="preserve">자산형 / CF는 빡빡</x:t>
        </x:is>
      </x:c>
      <x:c r="J2" s="8" t="inlineStr">
        <x:is>
          <x:t xml:space="preserve">https://tochidai.info/area/wakoshi/ | https://www.homes.co.jp/chintai/saitama/wakoshi_04755-st/price/</x:t>
        </x:is>
      </x:c>
    </x:row>
    <x:row r="3">
      <x:c r="A3" s="8" t="inlineStr">
        <x:is>
          <x:t xml:space="preserve">和光市 / 和光市|12~15분</x:t>
        </x:is>
      </x:c>
      <x:c r="B3" s="8" t="inlineStr">
        <x:is>
          <x:t xml:space="preserve">사이타마</x:t>
        </x:is>
      </x:c>
      <x:c r="C3" s="8" t="inlineStr">
        <x:is>
          <x:t xml:space="preserve">和光市 / 和光市</x:t>
        </x:is>
      </x:c>
      <x:c r="D3" s="8" t="inlineStr">
        <x:is>
          <x:t xml:space="preserve">12~15분</x:t>
        </x:is>
      </x:c>
      <x:c r="E3" s="9" t="n">
        <x:v>341076</x:v>
      </x:c>
      <x:c r="F3" s="9" t="n">
        <x:v>73300</x:v>
      </x:c>
      <x:c r="G3" s="10" t="n">
        <x:v>0.061</x:v>
      </x:c>
      <x:c r="H3" s="10" t="n">
        <x:v>0.065</x:v>
      </x:c>
      <x:c r="I3" s="8" t="inlineStr">
        <x:is>
          <x:t xml:space="preserve">거리 벌려야 회복</x:t>
        </x:is>
      </x:c>
      <x:c r="J3" s="8" t="inlineStr">
        <x:is>
          <x:t xml:space="preserve">https://tochidai.info/area/wakoshi/ | https://www.homes.co.jp/chintai/saitama/wakoshi_04755-st/price/</x:t>
        </x:is>
      </x:c>
    </x:row>
    <x:row r="4">
      <x:c r="A4" s="8" t="inlineStr">
        <x:is>
          <x:t xml:space="preserve">戸田公園|7분 이내</x:t>
        </x:is>
      </x:c>
      <x:c r="B4" s="8" t="inlineStr">
        <x:is>
          <x:t xml:space="preserve">사이타마</x:t>
        </x:is>
      </x:c>
      <x:c r="C4" s="8" t="inlineStr">
        <x:is>
          <x:t xml:space="preserve">戸田公園</x:t>
        </x:is>
      </x:c>
      <x:c r="D4" s="8" t="inlineStr">
        <x:is>
          <x:t xml:space="preserve">7분 이내</x:t>
        </x:is>
      </x:c>
      <x:c r="E4" s="9" t="n">
        <x:v>311571</x:v>
      </x:c>
      <x:c r="F4" s="9" t="n">
        <x:v>79100</x:v>
      </x:c>
      <x:c r="G4" s="10" t="n">
        <x:v>0.058</x:v>
      </x:c>
      <x:c r="H4" s="10" t="n">
        <x:v>0.062</x:v>
      </x:c>
      <x:c r="I4" s="8" t="inlineStr">
        <x:is>
          <x:t xml:space="preserve">埼京線 공실 방어형</x:t>
        </x:is>
      </x:c>
      <x:c r="J4" s="8" t="inlineStr">
        <x:is>
          <x:t xml:space="preserve">https://tochidai.info/area/toda-koen/ | https://www.homes.co.jp/chintai/saitama/todakoen_00635-st/price/</x:t>
        </x:is>
      </x:c>
    </x:row>
    <x:row r="5">
      <x:c r="A5" s="8" t="inlineStr">
        <x:is>
          <x:t xml:space="preserve">戸田公園|12~15분</x:t>
        </x:is>
      </x:c>
      <x:c r="B5" s="8" t="inlineStr">
        <x:is>
          <x:t xml:space="preserve">사이타마</x:t>
        </x:is>
      </x:c>
      <x:c r="C5" s="8" t="inlineStr">
        <x:is>
          <x:t xml:space="preserve">戸田公園</x:t>
        </x:is>
      </x:c>
      <x:c r="D5" s="8" t="inlineStr">
        <x:is>
          <x:t xml:space="preserve">12~15분</x:t>
        </x:is>
      </x:c>
      <x:c r="E5" s="9" t="n">
        <x:v>311571</x:v>
      </x:c>
      <x:c r="F5" s="9" t="n">
        <x:v>79100</x:v>
      </x:c>
      <x:c r="G5" s="10" t="n">
        <x:v>0.062</x:v>
      </x:c>
      <x:c r="H5" s="10" t="n">
        <x:v>0.066</x:v>
      </x:c>
      <x:c r="I5" s="8" t="inlineStr">
        <x:is>
          <x:t xml:space="preserve">6.7%면 이유 확인</x:t>
        </x:is>
      </x:c>
      <x:c r="J5" s="8" t="inlineStr">
        <x:is>
          <x:t xml:space="preserve">https://tochidai.info/area/toda-koen/ | https://www.homes.co.jp/chintai/saitama/todakoen_00635-st/price/</x:t>
        </x:is>
      </x:c>
    </x:row>
    <x:row r="6">
      <x:c r="A6" s="8" t="inlineStr">
        <x:is>
          <x:t xml:space="preserve">朝霞 / 朝霞台|7분 이내</x:t>
        </x:is>
      </x:c>
      <x:c r="B6" s="8" t="inlineStr">
        <x:is>
          <x:t xml:space="preserve">사이타마</x:t>
        </x:is>
      </x:c>
      <x:c r="C6" s="8" t="inlineStr">
        <x:is>
          <x:t xml:space="preserve">朝霞 / 朝霞台</x:t>
        </x:is>
      </x:c>
      <x:c r="D6" s="8" t="inlineStr">
        <x:is>
          <x:t xml:space="preserve">7분 이내</x:t>
        </x:is>
      </x:c>
      <x:c r="E6" s="9" t="n">
        <x:v>267800</x:v>
      </x:c>
      <x:c r="F6" s="9" t="n">
        <x:v>67700</x:v>
      </x:c>
      <x:c r="G6" s="10" t="n">
        <x:v>0.06</x:v>
      </x:c>
      <x:c r="H6" s="10" t="n">
        <x:v>0.064</x:v>
      </x:c>
      <x:c r="I6" s="8" t="inlineStr">
        <x:is>
          <x:t xml:space="preserve">1호 밸런스형</x:t>
        </x:is>
      </x:c>
      <x:c r="J6" s="8" t="inlineStr">
        <x:is>
          <x:t xml:space="preserve">https://tochidai.info/area/kita-asaka/ | https://www.homes.co.jp/chintai/saitama/asakadai_04757-st/price/</x:t>
        </x:is>
      </x:c>
    </x:row>
    <x:row r="7">
      <x:c r="A7" s="8" t="inlineStr">
        <x:is>
          <x:t xml:space="preserve">朝霞 / 朝霞台|12~15분</x:t>
        </x:is>
      </x:c>
      <x:c r="B7" s="8" t="inlineStr">
        <x:is>
          <x:t xml:space="preserve">사이타마</x:t>
        </x:is>
      </x:c>
      <x:c r="C7" s="8" t="inlineStr">
        <x:is>
          <x:t xml:space="preserve">朝霞 / 朝霞台</x:t>
        </x:is>
      </x:c>
      <x:c r="D7" s="8" t="inlineStr">
        <x:is>
          <x:t xml:space="preserve">12~15분</x:t>
        </x:is>
      </x:c>
      <x:c r="E7" s="9" t="n">
        <x:v>267800</x:v>
      </x:c>
      <x:c r="F7" s="9" t="n">
        <x:v>67700</x:v>
      </x:c>
      <x:c r="G7" s="10" t="n">
        <x:v>0.064</x:v>
      </x:c>
      <x:c r="H7" s="10" t="n">
        <x:v>0.06900000000000001</x:v>
      </x:c>
      <x:c r="I7" s="8" t="inlineStr">
        <x:is>
          <x:t xml:space="preserve">실전 최적 구간</x:t>
        </x:is>
      </x:c>
      <x:c r="J7" s="8" t="inlineStr">
        <x:is>
          <x:t xml:space="preserve">https://tochidai.info/area/kita-asaka/ | https://www.homes.co.jp/chintai/saitama/asakadai_04757-st/price/</x:t>
        </x:is>
      </x:c>
    </x:row>
    <x:row r="8">
      <x:c r="A8" s="8" t="inlineStr">
        <x:is>
          <x:t xml:space="preserve">越谷 / 南越谷|7분 이내</x:t>
        </x:is>
      </x:c>
      <x:c r="B8" s="8" t="inlineStr">
        <x:is>
          <x:t xml:space="preserve">사이타마</x:t>
        </x:is>
      </x:c>
      <x:c r="C8" s="8" t="inlineStr">
        <x:is>
          <x:t xml:space="preserve">越谷 / 南越谷</x:t>
        </x:is>
      </x:c>
      <x:c r="D8" s="8" t="inlineStr">
        <x:is>
          <x:t xml:space="preserve">7분 이내</x:t>
        </x:is>
      </x:c>
      <x:c r="E8" s="9" t="n">
        <x:v>228833</x:v>
      </x:c>
      <x:c r="F8" s="9" t="n">
        <x:v>90500</x:v>
      </x:c>
      <x:c r="G8" s="10" t="n">
        <x:v>0.063</x:v>
      </x:c>
      <x:c r="H8" s="10" t="n">
        <x:v>0.068</x:v>
      </x:c>
      <x:c r="I8" s="8" t="inlineStr">
        <x:is>
          <x:t xml:space="preserve">6.5% 목표 가능</x:t>
        </x:is>
      </x:c>
      <x:c r="J8" s="8" t="inlineStr">
        <x:is>
          <x:t xml:space="preserve">https://tochidai.info/area/minami-koshigaya/ | https://www.homes.co.jp/chintai/saitama/minamikoshigaya_00699-st/price/</x:t>
        </x:is>
      </x:c>
    </x:row>
    <x:row r="9">
      <x:c r="A9" s="8" t="inlineStr">
        <x:is>
          <x:t xml:space="preserve">越谷 / 南越谷|12~15분</x:t>
        </x:is>
      </x:c>
      <x:c r="B9" s="8" t="inlineStr">
        <x:is>
          <x:t xml:space="preserve">사이타마</x:t>
        </x:is>
      </x:c>
      <x:c r="C9" s="8" t="inlineStr">
        <x:is>
          <x:t xml:space="preserve">越谷 / 南越谷</x:t>
        </x:is>
      </x:c>
      <x:c r="D9" s="8" t="inlineStr">
        <x:is>
          <x:t xml:space="preserve">12~15분</x:t>
        </x:is>
      </x:c>
      <x:c r="E9" s="9" t="n">
        <x:v>228833</x:v>
      </x:c>
      <x:c r="F9" s="9" t="n">
        <x:v>90500</x:v>
      </x:c>
      <x:c r="G9" s="10" t="n">
        <x:v>0.068</x:v>
      </x:c>
      <x:c r="H9" s="10" t="n">
        <x:v>0.07199999999999999</x:v>
      </x:c>
      <x:c r="I9" s="8" t="inlineStr">
        <x:is>
          <x:t xml:space="preserve">7% 접근 가능</x:t>
        </x:is>
      </x:c>
      <x:c r="J9" s="8" t="inlineStr">
        <x:is>
          <x:t xml:space="preserve">https://tochidai.info/area/minami-koshigaya/ | https://www.homes.co.jp/chintai/saitama/minamikoshigaya_00699-st/price/</x:t>
        </x:is>
      </x:c>
    </x:row>
    <x:row r="10">
      <x:c r="A10" s="8" t="inlineStr">
        <x:is>
          <x:t xml:space="preserve">浦和美園|7분 이내</x:t>
        </x:is>
      </x:c>
      <x:c r="B10" s="8" t="inlineStr">
        <x:is>
          <x:t xml:space="preserve">사이타마</x:t>
        </x:is>
      </x:c>
      <x:c r="C10" s="8" t="inlineStr">
        <x:is>
          <x:t xml:space="preserve">浦和美園</x:t>
        </x:is>
      </x:c>
      <x:c r="D10" s="8" t="inlineStr">
        <x:is>
          <x:t xml:space="preserve">7분 이내</x:t>
        </x:is>
      </x:c>
      <x:c r="E10" s="9" t="n">
        <x:v>199175</x:v>
      </x:c>
      <x:c r="F10" s="9" t="n">
        <x:v>72500</x:v>
      </x:c>
      <x:c r="G10" s="10" t="n">
        <x:v>0.064</x:v>
      </x:c>
      <x:c r="H10" s="10" t="n">
        <x:v>0.06900000000000001</x:v>
      </x:c>
      <x:c r="I10" s="8" t="inlineStr">
        <x:is>
          <x:t xml:space="preserve">신도시형</x:t>
        </x:is>
      </x:c>
      <x:c r="J10" s="8" t="inlineStr">
        <x:is>
          <x:t xml:space="preserve">https://tochidai.info/area/urawa-misono/ | https://www.homes.co.jp/chintai/saitama/urawamisono_09711-st/price/</x:t>
        </x:is>
      </x:c>
    </x:row>
    <x:row r="11">
      <x:c r="A11" s="8" t="inlineStr">
        <x:is>
          <x:t xml:space="preserve">浦和美園|12~15분</x:t>
        </x:is>
      </x:c>
      <x:c r="B11" s="8" t="inlineStr">
        <x:is>
          <x:t xml:space="preserve">사이타마</x:t>
        </x:is>
      </x:c>
      <x:c r="C11" s="8" t="inlineStr">
        <x:is>
          <x:t xml:space="preserve">浦和美園</x:t>
        </x:is>
      </x:c>
      <x:c r="D11" s="8" t="inlineStr">
        <x:is>
          <x:t xml:space="preserve">12~15분</x:t>
        </x:is>
      </x:c>
      <x:c r="E11" s="9" t="n">
        <x:v>199175</x:v>
      </x:c>
      <x:c r="F11" s="9" t="n">
        <x:v>72500</x:v>
      </x:c>
      <x:c r="G11" s="10" t="n">
        <x:v>0.06900000000000001</x:v>
      </x:c>
      <x:c r="H11" s="10" t="n">
        <x:v>0.074</x:v>
      </x:c>
      <x:c r="I11" s="8" t="inlineStr">
        <x:is>
          <x:t xml:space="preserve">수익률형 후보</x:t>
        </x:is>
      </x:c>
      <x:c r="J11" s="8" t="inlineStr">
        <x:is>
          <x:t xml:space="preserve">https://tochidai.info/area/urawa-misono/ | https://www.homes.co.jp/chintai/saitama/urawamisono_09711-st/price/</x:t>
        </x:is>
      </x:c>
    </x:row>
    <x:row r="12">
      <x:c r="A12" s="8" t="inlineStr">
        <x:is>
          <x:t xml:space="preserve">浦安|7分 이내</x:t>
        </x:is>
      </x:c>
      <x:c r="B12" s="8" t="inlineStr">
        <x:is>
          <x:t xml:space="preserve">치바 서부</x:t>
        </x:is>
      </x:c>
      <x:c r="C12" s="8" t="inlineStr">
        <x:is>
          <x:t xml:space="preserve">浦安</x:t>
        </x:is>
      </x:c>
      <x:c r="D12" s="8" t="inlineStr">
        <x:is>
          <x:t xml:space="preserve">7분 이내</x:t>
        </x:is>
      </x:c>
      <x:c r="E12" s="9" t="n">
        <x:v>386157</x:v>
      </x:c>
      <x:c r="F12" s="9" t="n">
        <x:v>97100</x:v>
      </x:c>
      <x:c r="G12" s="10" t="n">
        <x:v>0.054</x:v>
      </x:c>
      <x:c r="H12" s="10" t="n">
        <x:v>0.059</x:v>
      </x:c>
      <x:c r="I12" s="8" t="inlineStr">
        <x:is>
          <x:t xml:space="preserve">자산형</x:t>
        </x:is>
      </x:c>
      <x:c r="J12" s="8" t="inlineStr">
        <x:is>
          <x:t xml:space="preserve">https://tochidai.info/chiba/urayasu/ | https://www.homes.co.jp/chintai/chiba/urayasu_06359-st/price/</x:t>
        </x:is>
      </x:c>
    </x:row>
    <x:row r="13">
      <x:c r="A13" s="8" t="inlineStr">
        <x:is>
          <x:t xml:space="preserve">浦安|12~15분</x:t>
        </x:is>
      </x:c>
      <x:c r="B13" s="8" t="inlineStr">
        <x:is>
          <x:t xml:space="preserve">치바 서부</x:t>
        </x:is>
      </x:c>
      <x:c r="C13" s="8" t="inlineStr">
        <x:is>
          <x:t xml:space="preserve">浦安</x:t>
        </x:is>
      </x:c>
      <x:c r="D13" s="8" t="inlineStr">
        <x:is>
          <x:t xml:space="preserve">12~15분</x:t>
        </x:is>
      </x:c>
      <x:c r="E13" s="9" t="n">
        <x:v>386157</x:v>
      </x:c>
      <x:c r="F13" s="9" t="n">
        <x:v>97100</x:v>
      </x:c>
      <x:c r="G13" s="10" t="n">
        <x:v>0.059</x:v>
      </x:c>
      <x:c r="H13" s="10" t="n">
        <x:v>0.063</x:v>
      </x:c>
      <x:c r="I13" s="8" t="inlineStr">
        <x:is>
          <x:t xml:space="preserve">그래도 낮음</x:t>
        </x:is>
      </x:c>
      <x:c r="J13" s="8" t="inlineStr">
        <x:is>
          <x:t xml:space="preserve">https://tochidai.info/chiba/urayasu/ | https://www.homes.co.jp/chintai/chiba/urayasu_06359-st/price/</x:t>
        </x:is>
      </x:c>
    </x:row>
    <x:row r="14">
      <x:c r="A14" s="8" t="inlineStr">
        <x:is>
          <x:t xml:space="preserve">妙典|7分 이내</x:t>
        </x:is>
      </x:c>
      <x:c r="B14" s="8" t="inlineStr">
        <x:is>
          <x:t xml:space="preserve">치바 서부</x:t>
        </x:is>
      </x:c>
      <x:c r="C14" s="8" t="inlineStr">
        <x:is>
          <x:t xml:space="preserve">妙典</x:t>
        </x:is>
      </x:c>
      <x:c r="D14" s="8" t="inlineStr">
        <x:is>
          <x:t xml:space="preserve">7분 이내</x:t>
        </x:is>
      </x:c>
      <x:c r="E14" s="9" t="n">
        <x:v>296953</x:v>
      </x:c>
      <x:c r="F14" s="9" t="n">
        <x:v>77600</x:v>
      </x:c>
      <x:c r="G14" s="10" t="n">
        <x:v>0.059</x:v>
      </x:c>
      <x:c r="H14" s="10" t="n">
        <x:v>0.063</x:v>
      </x:c>
      <x:c r="I14" s="8" t="inlineStr">
        <x:is>
          <x:t xml:space="preserve">균형형</x:t>
        </x:is>
      </x:c>
      <x:c r="J14" s="8" t="inlineStr">
        <x:is>
          <x:t xml:space="preserve">https://tochidai.info/chiba/ichikawa/ | https://www.homes.co.jp/chintai/chiba/myoden_09212-st/price/</x:t>
        </x:is>
      </x:c>
    </x:row>
    <x:row r="15">
      <x:c r="A15" s="8" t="inlineStr">
        <x:is>
          <x:t xml:space="preserve">妙典|12~15분</x:t>
        </x:is>
      </x:c>
      <x:c r="B15" s="8" t="inlineStr">
        <x:is>
          <x:t xml:space="preserve">치바 서부</x:t>
        </x:is>
      </x:c>
      <x:c r="C15" s="8" t="inlineStr">
        <x:is>
          <x:t xml:space="preserve">妙典</x:t>
        </x:is>
      </x:c>
      <x:c r="D15" s="8" t="inlineStr">
        <x:is>
          <x:t xml:space="preserve">12~15분</x:t>
        </x:is>
      </x:c>
      <x:c r="E15" s="9" t="n">
        <x:v>296953</x:v>
      </x:c>
      <x:c r="F15" s="9" t="n">
        <x:v>77600</x:v>
      </x:c>
      <x:c r="G15" s="10" t="n">
        <x:v>0.063</x:v>
      </x:c>
      <x:c r="H15" s="10" t="n">
        <x:v>0.067</x:v>
      </x:c>
      <x:c r="I15" s="8" t="inlineStr">
        <x:is>
          <x:t xml:space="preserve">실전권</x:t>
        </x:is>
      </x:c>
      <x:c r="J15" s="8" t="inlineStr">
        <x:is>
          <x:t xml:space="preserve">https://tochidai.info/chiba/ichikawa/ | https://www.homes.co.jp/chintai/chiba/myoden_09212-st/price/</x:t>
        </x:is>
      </x:c>
    </x:row>
    <x:row r="16">
      <x:c r="A16" s="8" t="inlineStr">
        <x:is>
          <x:t xml:space="preserve">行徳 / 南行徳|7분 이내</x:t>
        </x:is>
      </x:c>
      <x:c r="B16" s="8" t="inlineStr">
        <x:is>
          <x:t xml:space="preserve">치바 서부</x:t>
        </x:is>
      </x:c>
      <x:c r="C16" s="8" t="inlineStr">
        <x:is>
          <x:t xml:space="preserve">行徳 / 南行徳</x:t>
        </x:is>
      </x:c>
      <x:c r="D16" s="8" t="inlineStr">
        <x:is>
          <x:t xml:space="preserve">7분 이내</x:t>
        </x:is>
      </x:c>
      <x:c r="E16" s="9" t="n">
        <x:v>296953</x:v>
      </x:c>
      <x:c r="F16" s="9" t="n">
        <x:v>87700</x:v>
      </x:c>
      <x:c r="G16" s="10" t="n">
        <x:v>0.058</x:v>
      </x:c>
      <x:c r="H16" s="10" t="n">
        <x:v>0.063</x:v>
      </x:c>
      <x:c r="I16" s="8" t="inlineStr">
        <x:is>
          <x:t xml:space="preserve">東西線 강세</x:t>
        </x:is>
      </x:c>
      <x:c r="J16" s="8" t="inlineStr">
        <x:is>
          <x:t xml:space="preserve">https://tochidai.info/chiba/ichikawa/ | https://www.homes.co.jp/chintai/chiba/gyotoku_06361-st/price/ | https://www.homes.co.jp/chintai/chiba/minamigyotoku_06360-st/price/</x:t>
        </x:is>
      </x:c>
    </x:row>
    <x:row r="17">
      <x:c r="A17" s="8" t="inlineStr">
        <x:is>
          <x:t xml:space="preserve">行徳 / 南行徳|12~15분</x:t>
        </x:is>
      </x:c>
      <x:c r="B17" s="8" t="inlineStr">
        <x:is>
          <x:t xml:space="preserve">치바 서부</x:t>
        </x:is>
      </x:c>
      <x:c r="C17" s="8" t="inlineStr">
        <x:is>
          <x:t xml:space="preserve">行徳 / 南行徳</x:t>
        </x:is>
      </x:c>
      <x:c r="D17" s="8" t="inlineStr">
        <x:is>
          <x:t xml:space="preserve">12~15분</x:t>
        </x:is>
      </x:c>
      <x:c r="E17" s="9" t="n">
        <x:v>296953</x:v>
      </x:c>
      <x:c r="F17" s="9" t="n">
        <x:v>87700</x:v>
      </x:c>
      <x:c r="G17" s="10" t="n">
        <x:v>0.062</x:v>
      </x:c>
      <x:c r="H17" s="10" t="n">
        <x:v>0.067</x:v>
      </x:c>
      <x:c r="I17" s="8" t="inlineStr">
        <x:is>
          <x:t xml:space="preserve">추천권</x:t>
        </x:is>
      </x:c>
      <x:c r="J17" s="8" t="inlineStr">
        <x:is>
          <x:t xml:space="preserve">https://tochidai.info/chiba/ichikawa/ | https://www.homes.co.jp/chintai/chiba/gyotoku_06361-st/price/ | https://www.homes.co.jp/chintai/chiba/minamigyotoku_06360-st/price/</x:t>
        </x:is>
      </x:c>
    </x:row>
    <x:row r="18">
      <x:c r="A18" s="8" t="inlineStr">
        <x:is>
          <x:t xml:space="preserve">西船橋|7분 이내</x:t>
        </x:is>
      </x:c>
      <x:c r="B18" s="8" t="inlineStr">
        <x:is>
          <x:t xml:space="preserve">치바 서부</x:t>
        </x:is>
      </x:c>
      <x:c r="C18" s="8" t="inlineStr">
        <x:is>
          <x:t xml:space="preserve">西船橋</x:t>
        </x:is>
      </x:c>
      <x:c r="D18" s="8" t="inlineStr">
        <x:is>
          <x:t xml:space="preserve">7분 이내</x:t>
        </x:is>
      </x:c>
      <x:c r="E18" s="9" t="n">
        <x:v>341000</x:v>
      </x:c>
      <x:c r="F18" s="9" t="n">
        <x:v>90200</x:v>
      </x:c>
      <x:c r="G18" s="10" t="n">
        <x:v>0.056</x:v>
      </x:c>
      <x:c r="H18" s="10" t="n">
        <x:v>0.061</x:v>
      </x:c>
      <x:c r="I18" s="8" t="inlineStr">
        <x:is>
          <x:t xml:space="preserve">역세권 강함</x:t>
        </x:is>
      </x:c>
      <x:c r="J18" s="8" t="inlineStr">
        <x:is>
          <x:t xml:space="preserve">https://www.stepon.co.jp/tochi/chikadoukou/12/204_kouji/ | https://www.homes.co.jp/chintai/chiba/nishifunabashi_00708-st/price/</x:t>
        </x:is>
      </x:c>
    </x:row>
    <x:row r="19">
      <x:c r="A19" s="8" t="inlineStr">
        <x:is>
          <x:t xml:space="preserve">西船橋|12~15분</x:t>
        </x:is>
      </x:c>
      <x:c r="B19" s="8" t="inlineStr">
        <x:is>
          <x:t xml:space="preserve">치바 서부</x:t>
        </x:is>
      </x:c>
      <x:c r="C19" s="8" t="inlineStr">
        <x:is>
          <x:t xml:space="preserve">西船橋</x:t>
        </x:is>
      </x:c>
      <x:c r="D19" s="8" t="inlineStr">
        <x:is>
          <x:t xml:space="preserve">12~15분</x:t>
        </x:is>
      </x:c>
      <x:c r="E19" s="9" t="n">
        <x:v>190000</x:v>
      </x:c>
      <x:c r="F19" s="9" t="n">
        <x:v>90200</x:v>
      </x:c>
      <x:c r="G19" s="10" t="n">
        <x:v>0.062</x:v>
      </x:c>
      <x:c r="H19" s="10" t="n">
        <x:v>0.068</x:v>
      </x:c>
      <x:c r="I19" s="8" t="inlineStr">
        <x:is>
          <x:t xml:space="preserve">거리 벌리면 회복</x:t>
        </x:is>
      </x:c>
      <x:c r="J19" s="8" t="inlineStr">
        <x:is>
          <x:t xml:space="preserve">https://www.stepon.co.jp/tochi/chikadoukou/12/204_kouji/ | https://www.homes.co.jp/chintai/chiba/nishifunabashi_00708-st/price/</x:t>
        </x:is>
      </x:c>
    </x:row>
    <x:row r="20">
      <x:c r="A20" s="8" t="inlineStr">
        <x:is>
          <x:t xml:space="preserve">本八幡|7분 이내</x:t>
        </x:is>
      </x:c>
      <x:c r="B20" s="8" t="inlineStr">
        <x:is>
          <x:t xml:space="preserve">치바 서부</x:t>
        </x:is>
      </x:c>
      <x:c r="C20" s="8" t="inlineStr">
        <x:is>
          <x:t xml:space="preserve">本八幡</x:t>
        </x:is>
      </x:c>
      <x:c r="D20" s="8" t="inlineStr">
        <x:is>
          <x:t xml:space="preserve">7분 이내</x:t>
        </x:is>
      </x:c>
      <x:c r="E20" s="9" t="n">
        <x:v>296953</x:v>
      </x:c>
      <x:c r="F20" s="9" t="n">
        <x:v>84700</x:v>
      </x:c>
      <x:c r="G20" s="10" t="n">
        <x:v>0.057</x:v>
      </x:c>
      <x:c r="H20" s="10" t="n">
        <x:v>0.061</x:v>
      </x:c>
      <x:c r="I20" s="8" t="inlineStr">
        <x:is>
          <x:t xml:space="preserve">자산형</x:t>
        </x:is>
      </x:c>
      <x:c r="J20" s="8" t="inlineStr">
        <x:is>
          <x:t xml:space="preserve">https://tochidai.info/chiba/ichikawa/ | https://www.homes.co.jp/chintai/chiba/motoyawata_01926-st/price/</x:t>
        </x:is>
      </x:c>
    </x:row>
    <x:row r="21">
      <x:c r="A21" s="8" t="inlineStr">
        <x:is>
          <x:t xml:space="preserve">本八幡|12~15분</x:t>
        </x:is>
      </x:c>
      <x:c r="B21" s="8" t="inlineStr">
        <x:is>
          <x:t xml:space="preserve">치바 서부</x:t>
        </x:is>
      </x:c>
      <x:c r="C21" s="8" t="inlineStr">
        <x:is>
          <x:t xml:space="preserve">本八幡</x:t>
        </x:is>
      </x:c>
      <x:c r="D21" s="8" t="inlineStr">
        <x:is>
          <x:t xml:space="preserve">12~15분</x:t>
        </x:is>
      </x:c>
      <x:c r="E21" s="9" t="n">
        <x:v>296953</x:v>
      </x:c>
      <x:c r="F21" s="9" t="n">
        <x:v>84700</x:v>
      </x:c>
      <x:c r="G21" s="10" t="n">
        <x:v>0.061</x:v>
      </x:c>
      <x:c r="H21" s="10" t="n">
        <x:v>0.065</x:v>
      </x:c>
      <x:c r="I21" s="8" t="inlineStr">
        <x:is>
          <x:t xml:space="preserve">6.5%면 좋음</x:t>
        </x:is>
      </x:c>
      <x:c r="J21" s="8" t="inlineStr">
        <x:is>
          <x:t xml:space="preserve">https://tochidai.info/chiba/ichikawa/ | https://www.homes.co.jp/chintai/chiba/motoyawata_01926-st/price/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10" customWidth="1"/>
    <x:col min="3" max="3" width="18" customWidth="1"/>
    <x:col min="4" max="4" width="12" customWidth="1"/>
    <x:col min="5" max="5" width="12" customWidth="1"/>
    <x:col min="6" max="6" width="11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8" customWidth="1"/>
    <x:col min="13" max="13" width="10" customWidth="1"/>
    <x:col min="14" max="14" width="10" customWidth="1"/>
    <x:col min="15" max="15" width="20" customWidth="1"/>
    <x:col min="16" max="16" width="20" customWidth="1"/>
    <x:col min="17" max="17" width="11" customWidth="1"/>
    <x:col min="18" max="18" width="11" customWidth="1"/>
    <x:col min="19" max="19" width="11" customWidth="1"/>
    <x:col min="20" max="20" width="11" customWidth="1"/>
    <x:col min="21" max="21" width="11" customWidth="1"/>
    <x:col min="22" max="22" width="10" customWidth="1"/>
  </x:cols>
  <x:sheetData>
    <x:row r="1">
      <x:c r="A1" s="1" t="inlineStr">
        <x:is>
          <x:t xml:space="preserve">물건 입력 &amp; 자동 스코어</x:t>
        </x:is>
      </x:c>
    </x:row>
    <x:row r="2">
      <x:c r="A2" s="1" t="inlineStr">
        <x:is>
          <x:t xml:space="preserve">ID</x:t>
        </x:is>
      </x:c>
      <x:c r="B2" s="1" t="inlineStr">
        <x:is>
          <x:t xml:space="preserve">권역</x:t>
        </x:is>
      </x:c>
      <x:c r="C2" s="1" t="inlineStr">
        <x:is>
          <x:t xml:space="preserve">지역/역</x:t>
        </x:is>
      </x:c>
      <x:c r="D2" s="1" t="inlineStr">
        <x:is>
          <x:t xml:space="preserve">도보구간</x:t>
        </x:is>
      </x:c>
      <x:c r="E2" s="1" t="inlineStr">
        <x:is>
          <x:t xml:space="preserve">표면수익률</x:t>
        </x:is>
      </x:c>
      <x:c r="F2" s="1" t="inlineStr">
        <x:is>
          <x:t xml:space="preserve">역거리(분)</x:t>
        </x:is>
      </x:c>
      <x:c r="G2" s="1" t="inlineStr">
        <x:is>
          <x:t xml:space="preserve">평균전용면적(㎡)</x:t>
        </x:is>
      </x:c>
      <x:c r="H2" s="1" t="inlineStr">
        <x:is>
          <x:t xml:space="preserve">연간CF(엔)</x:t>
        </x:is>
      </x:c>
      <x:c r="I2" s="1" t="inlineStr">
        <x:is>
          <x:t xml:space="preserve">지가(엔/㎡)</x:t>
        </x:is>
      </x:c>
      <x:c r="J2" s="1" t="inlineStr">
        <x:is>
          <x:t xml:space="preserve">1K임대료(엔)</x:t>
        </x:is>
      </x:c>
      <x:c r="K2" s="1" t="inlineStr">
        <x:is>
          <x:t xml:space="preserve">매가(엔)</x:t>
        </x:is>
      </x:c>
      <x:c r="L2" s="1" t="inlineStr">
        <x:is>
          <x:t xml:space="preserve">세대수</x:t>
        </x:is>
      </x:c>
      <x:c r="M2" s="1" t="inlineStr">
        <x:is>
          <x:t xml:space="preserve">토지(㎡)</x:t>
        </x:is>
      </x:c>
      <x:c r="N2" s="1" t="inlineStr">
        <x:is>
          <x:t xml:space="preserve">금리</x:t>
        </x:is>
      </x:c>
      <x:c r="O2" s="1" t="inlineStr">
        <x:is>
          <x:t xml:space="preserve">메모</x:t>
        </x:is>
      </x:c>
      <x:c r="P2" s="1" t="inlineStr">
        <x:is>
          <x:t xml:space="preserve">벤치Key</x:t>
        </x:is>
      </x:c>
      <x:c r="Q2" s="1" t="inlineStr">
        <x:is>
          <x:t xml:space="preserve">YieldScore</x:t>
        </x:is>
      </x:c>
      <x:c r="R2" s="1" t="inlineStr">
        <x:is>
          <x:t xml:space="preserve">WalkScore</x:t>
        </x:is>
      </x:c>
      <x:c r="S2" s="1" t="inlineStr">
        <x:is>
          <x:t xml:space="preserve">UnitScore</x:t>
        </x:is>
      </x:c>
      <x:c r="T2" s="1" t="inlineStr">
        <x:is>
          <x:t xml:space="preserve">CFScore</x:t>
        </x:is>
      </x:c>
      <x:c r="U2" s="1" t="inlineStr">
        <x:is>
          <x:t xml:space="preserve">FitScore</x:t>
        </x:is>
      </x:c>
      <x:c r="V2" s="1" t="inlineStr">
        <x:is>
          <x:t xml:space="preserve">총점</x:t>
        </x:is>
      </x:c>
    </x:row>
    <x:row r="3">
      <x:c r="A3" t="n">
        <x:v>1</x:v>
      </x:c>
      <x:c r="B3" s="5" t="n"/>
      <x:c r="C3" s="5" t="n"/>
      <x:c r="D3" s="5" t="n"/>
      <x:c r="E3" s="3" t="n"/>
      <x:c r="F3" s="5" t="n"/>
      <x:c r="G3" s="5" t="n"/>
      <x:c r="H3" s="4" t="n"/>
      <x:c r="I3" s="4" t="n"/>
      <x:c r="J3" s="4" t="n"/>
      <x:c r="K3" s="4" t="n"/>
      <x:c r="L3" s="5" t="n"/>
      <x:c r="M3" s="5" t="n"/>
      <x:c r="N3" s="3" t="n"/>
      <x:c r="O3" s="5" t="n"/>
      <x:c r="P3">
        <x:f>IF(OR(C3="",D3=""),"",C3&amp;"|"&amp;D3)</x:f>
      </x:c>
      <x:c r="Q3" s="11">
        <x:f>IF(E3="","",MAX(0,MIN(100,(E3/Setup!$B$3)*100)))</x:f>
      </x:c>
      <x:c r="R3" s="11">
        <x:f>IF(F3="","",MAX(0,MIN(100,100-(MAX(0,F3-Setup!$B$4)*8))))</x:f>
      </x:c>
      <x:c r="S3" s="11">
        <x:f>IF(G3="","",MAX(0,MIN(100,(G3/Setup!$B$5)*100)))</x:f>
      </x:c>
      <x:c r="T3" s="11">
        <x:f>IF(H3="","",MAX(0,MIN(100,(H3/Setup!$B$6)*100)))</x:f>
      </x:c>
      <x:c r="U3" s="11">
        <x:f>IF(P3="","",IFERROR(IF(E3&gt;=VLOOKUP(P3,Reference!$A$2:$H$21,7,FALSE),100,IF(E3&gt;=VLOOKUP(P3,Reference!$A$2:$H$21,6,FALSE),85,60)), ""))</x:f>
      </x:c>
      <x:c r="V3" s="11">
        <x:f>IF(COUNTA(Q3:U3)=0,"",ROUND((Q3*Setup!$B$11+R3*Setup!$B$12+S3*Setup!$B$13+T3*Setup!$B$14+U3*Setup!$B$15)/100,1))</x:f>
        <x:v>0</x:v>
      </x:c>
    </x:row>
    <x:row r="4">
      <x:c r="A4" t="n">
        <x:v>2</x:v>
      </x:c>
      <x:c r="B4" s="5" t="n"/>
      <x:c r="C4" s="5" t="n"/>
      <x:c r="D4" s="5" t="n"/>
      <x:c r="E4" s="3" t="n"/>
      <x:c r="F4" s="5" t="n"/>
      <x:c r="G4" s="5" t="n"/>
      <x:c r="H4" s="4" t="n"/>
      <x:c r="I4" s="4" t="n"/>
      <x:c r="J4" s="4" t="n"/>
      <x:c r="K4" s="4" t="n"/>
      <x:c r="L4" s="5" t="n"/>
      <x:c r="M4" s="5" t="n"/>
      <x:c r="N4" s="3" t="n"/>
      <x:c r="O4" s="5" t="n"/>
      <x:c r="P4">
        <x:f>IF(OR(C4="",D4=""),"",C4&amp;"|"&amp;D4)</x:f>
      </x:c>
      <x:c r="Q4" s="11">
        <x:f>IF(E4="","",MAX(0,MIN(100,(E4/Setup!$B$3)*100)))</x:f>
      </x:c>
      <x:c r="R4" s="11">
        <x:f>IF(F4="","",MAX(0,MIN(100,100-(MAX(0,F4-Setup!$B$4)*8))))</x:f>
      </x:c>
      <x:c r="S4" s="11">
        <x:f>IF(G4="","",MAX(0,MIN(100,(G4/Setup!$B$5)*100)))</x:f>
      </x:c>
      <x:c r="T4" s="11">
        <x:f>IF(H4="","",MAX(0,MIN(100,(H4/Setup!$B$6)*100)))</x:f>
      </x:c>
      <x:c r="U4" s="11">
        <x:f>IF(P4="","",IFERROR(IF(E4&gt;=VLOOKUP(P4,Reference!$A$2:$H$21,7,FALSE),100,IF(E4&gt;=VLOOKUP(P4,Reference!$A$2:$H$21,6,FALSE),85,60)), ""))</x:f>
      </x:c>
      <x:c r="V4" s="11">
        <x:f>IF(COUNTA(Q4:U4)=0,"",ROUND((Q4*Setup!$B$11+R4*Setup!$B$12+S4*Setup!$B$13+T4*Setup!$B$14+U4*Setup!$B$15)/100,1))</x:f>
        <x:v>0</x:v>
      </x:c>
    </x:row>
    <x:row r="5">
      <x:c r="A5" t="n">
        <x:v>3</x:v>
      </x:c>
      <x:c r="B5" s="5" t="n"/>
      <x:c r="C5" s="5" t="n"/>
      <x:c r="D5" s="5" t="n"/>
      <x:c r="E5" s="3" t="n"/>
      <x:c r="F5" s="5" t="n"/>
      <x:c r="G5" s="5" t="n"/>
      <x:c r="H5" s="4" t="n"/>
      <x:c r="I5" s="4" t="n"/>
      <x:c r="J5" s="4" t="n"/>
      <x:c r="K5" s="4" t="n"/>
      <x:c r="L5" s="5" t="n"/>
      <x:c r="M5" s="5" t="n"/>
      <x:c r="N5" s="3" t="n"/>
      <x:c r="O5" s="5" t="n"/>
      <x:c r="P5">
        <x:f>IF(OR(C5="",D5=""),"",C5&amp;"|"&amp;D5)</x:f>
      </x:c>
      <x:c r="Q5" s="11">
        <x:f>IF(E5="","",MAX(0,MIN(100,(E5/Setup!$B$3)*100)))</x:f>
      </x:c>
      <x:c r="R5" s="11">
        <x:f>IF(F5="","",MAX(0,MIN(100,100-(MAX(0,F5-Setup!$B$4)*8))))</x:f>
      </x:c>
      <x:c r="S5" s="11">
        <x:f>IF(G5="","",MAX(0,MIN(100,(G5/Setup!$B$5)*100)))</x:f>
      </x:c>
      <x:c r="T5" s="11">
        <x:f>IF(H5="","",MAX(0,MIN(100,(H5/Setup!$B$6)*100)))</x:f>
      </x:c>
      <x:c r="U5" s="11">
        <x:f>IF(P5="","",IFERROR(IF(E5&gt;=VLOOKUP(P5,Reference!$A$2:$H$21,7,FALSE),100,IF(E5&gt;=VLOOKUP(P5,Reference!$A$2:$H$21,6,FALSE),85,60)), ""))</x:f>
      </x:c>
      <x:c r="V5" s="11">
        <x:f>IF(COUNTA(Q5:U5)=0,"",ROUND((Q5*Setup!$B$11+R5*Setup!$B$12+S5*Setup!$B$13+T5*Setup!$B$14+U5*Setup!$B$15)/100,1))</x:f>
        <x:v>0</x:v>
      </x:c>
    </x:row>
    <x:row r="6">
      <x:c r="A6" t="n">
        <x:v>4</x:v>
      </x:c>
      <x:c r="B6" s="5" t="n"/>
      <x:c r="C6" s="5" t="n"/>
      <x:c r="D6" s="5" t="n"/>
      <x:c r="E6" s="3" t="n"/>
      <x:c r="F6" s="5" t="n"/>
      <x:c r="G6" s="5" t="n"/>
      <x:c r="H6" s="4" t="n"/>
      <x:c r="I6" s="4" t="n"/>
      <x:c r="J6" s="4" t="n"/>
      <x:c r="K6" s="4" t="n"/>
      <x:c r="L6" s="5" t="n"/>
      <x:c r="M6" s="5" t="n"/>
      <x:c r="N6" s="3" t="n"/>
      <x:c r="O6" s="5" t="n"/>
      <x:c r="P6">
        <x:f>IF(OR(C6="",D6=""),"",C6&amp;"|"&amp;D6)</x:f>
      </x:c>
      <x:c r="Q6" s="11">
        <x:f>IF(E6="","",MAX(0,MIN(100,(E6/Setup!$B$3)*100)))</x:f>
      </x:c>
      <x:c r="R6" s="11">
        <x:f>IF(F6="","",MAX(0,MIN(100,100-(MAX(0,F6-Setup!$B$4)*8))))</x:f>
      </x:c>
      <x:c r="S6" s="11">
        <x:f>IF(G6="","",MAX(0,MIN(100,(G6/Setup!$B$5)*100)))</x:f>
      </x:c>
      <x:c r="T6" s="11">
        <x:f>IF(H6="","",MAX(0,MIN(100,(H6/Setup!$B$6)*100)))</x:f>
      </x:c>
      <x:c r="U6" s="11">
        <x:f>IF(P6="","",IFERROR(IF(E6&gt;=VLOOKUP(P6,Reference!$A$2:$H$21,7,FALSE),100,IF(E6&gt;=VLOOKUP(P6,Reference!$A$2:$H$21,6,FALSE),85,60)), ""))</x:f>
      </x:c>
      <x:c r="V6" s="11">
        <x:f>IF(COUNTA(Q6:U6)=0,"",ROUND((Q6*Setup!$B$11+R6*Setup!$B$12+S6*Setup!$B$13+T6*Setup!$B$14+U6*Setup!$B$15)/100,1))</x:f>
        <x:v>0</x:v>
      </x:c>
    </x:row>
    <x:row r="7">
      <x:c r="A7" t="n">
        <x:v>5</x:v>
      </x:c>
      <x:c r="B7" s="5" t="n"/>
      <x:c r="C7" s="5" t="n"/>
      <x:c r="D7" s="5" t="n"/>
      <x:c r="E7" s="3" t="n"/>
      <x:c r="F7" s="5" t="n"/>
      <x:c r="G7" s="5" t="n"/>
      <x:c r="H7" s="4" t="n"/>
      <x:c r="I7" s="4" t="n"/>
      <x:c r="J7" s="4" t="n"/>
      <x:c r="K7" s="4" t="n"/>
      <x:c r="L7" s="5" t="n"/>
      <x:c r="M7" s="5" t="n"/>
      <x:c r="N7" s="3" t="n"/>
      <x:c r="O7" s="5" t="n"/>
      <x:c r="P7">
        <x:f>IF(OR(C7="",D7=""),"",C7&amp;"|"&amp;D7)</x:f>
      </x:c>
      <x:c r="Q7" s="11">
        <x:f>IF(E7="","",MAX(0,MIN(100,(E7/Setup!$B$3)*100)))</x:f>
      </x:c>
      <x:c r="R7" s="11">
        <x:f>IF(F7="","",MAX(0,MIN(100,100-(MAX(0,F7-Setup!$B$4)*8))))</x:f>
      </x:c>
      <x:c r="S7" s="11">
        <x:f>IF(G7="","",MAX(0,MIN(100,(G7/Setup!$B$5)*100)))</x:f>
      </x:c>
      <x:c r="T7" s="11">
        <x:f>IF(H7="","",MAX(0,MIN(100,(H7/Setup!$B$6)*100)))</x:f>
      </x:c>
      <x:c r="U7" s="11">
        <x:f>IF(P7="","",IFERROR(IF(E7&gt;=VLOOKUP(P7,Reference!$A$2:$H$21,7,FALSE),100,IF(E7&gt;=VLOOKUP(P7,Reference!$A$2:$H$21,6,FALSE),85,60)), ""))</x:f>
      </x:c>
      <x:c r="V7" s="11">
        <x:f>IF(COUNTA(Q7:U7)=0,"",ROUND((Q7*Setup!$B$11+R7*Setup!$B$12+S7*Setup!$B$13+T7*Setup!$B$14+U7*Setup!$B$15)/100,1))</x:f>
        <x:v>0</x:v>
      </x:c>
    </x:row>
    <x:row r="8">
      <x:c r="A8" t="n">
        <x:v>6</x:v>
      </x:c>
      <x:c r="B8" s="5" t="n"/>
      <x:c r="C8" s="5" t="n"/>
      <x:c r="D8" s="5" t="n"/>
      <x:c r="E8" s="3" t="n"/>
      <x:c r="F8" s="5" t="n"/>
      <x:c r="G8" s="5" t="n"/>
      <x:c r="H8" s="4" t="n"/>
      <x:c r="I8" s="4" t="n"/>
      <x:c r="J8" s="4" t="n"/>
      <x:c r="K8" s="4" t="n"/>
      <x:c r="L8" s="5" t="n"/>
      <x:c r="M8" s="5" t="n"/>
      <x:c r="N8" s="3" t="n"/>
      <x:c r="O8" s="5" t="n"/>
      <x:c r="P8">
        <x:f>IF(OR(C8="",D8=""),"",C8&amp;"|"&amp;D8)</x:f>
      </x:c>
      <x:c r="Q8" s="11">
        <x:f>IF(E8="","",MAX(0,MIN(100,(E8/Setup!$B$3)*100)))</x:f>
      </x:c>
      <x:c r="R8" s="11">
        <x:f>IF(F8="","",MAX(0,MIN(100,100-(MAX(0,F8-Setup!$B$4)*8))))</x:f>
      </x:c>
      <x:c r="S8" s="11">
        <x:f>IF(G8="","",MAX(0,MIN(100,(G8/Setup!$B$5)*100)))</x:f>
      </x:c>
      <x:c r="T8" s="11">
        <x:f>IF(H8="","",MAX(0,MIN(100,(H8/Setup!$B$6)*100)))</x:f>
      </x:c>
      <x:c r="U8" s="11">
        <x:f>IF(P8="","",IFERROR(IF(E8&gt;=VLOOKUP(P8,Reference!$A$2:$H$21,7,FALSE),100,IF(E8&gt;=VLOOKUP(P8,Reference!$A$2:$H$21,6,FALSE),85,60)), ""))</x:f>
      </x:c>
      <x:c r="V8" s="11">
        <x:f>IF(COUNTA(Q8:U8)=0,"",ROUND((Q8*Setup!$B$11+R8*Setup!$B$12+S8*Setup!$B$13+T8*Setup!$B$14+U8*Setup!$B$15)/100,1))</x:f>
        <x:v>0</x:v>
      </x:c>
    </x:row>
    <x:row r="9">
      <x:c r="A9" t="n">
        <x:v>7</x:v>
      </x:c>
      <x:c r="B9" s="5" t="n"/>
      <x:c r="C9" s="5" t="n"/>
      <x:c r="D9" s="5" t="n"/>
      <x:c r="E9" s="3" t="n"/>
      <x:c r="F9" s="5" t="n"/>
      <x:c r="G9" s="5" t="n"/>
      <x:c r="H9" s="4" t="n"/>
      <x:c r="I9" s="4" t="n"/>
      <x:c r="J9" s="4" t="n"/>
      <x:c r="K9" s="4" t="n"/>
      <x:c r="L9" s="5" t="n"/>
      <x:c r="M9" s="5" t="n"/>
      <x:c r="N9" s="3" t="n"/>
      <x:c r="O9" s="5" t="n"/>
      <x:c r="P9">
        <x:f>IF(OR(C9="",D9=""),"",C9&amp;"|"&amp;D9)</x:f>
      </x:c>
      <x:c r="Q9" s="11">
        <x:f>IF(E9="","",MAX(0,MIN(100,(E9/Setup!$B$3)*100)))</x:f>
      </x:c>
      <x:c r="R9" s="11">
        <x:f>IF(F9="","",MAX(0,MIN(100,100-(MAX(0,F9-Setup!$B$4)*8))))</x:f>
      </x:c>
      <x:c r="S9" s="11">
        <x:f>IF(G9="","",MAX(0,MIN(100,(G9/Setup!$B$5)*100)))</x:f>
      </x:c>
      <x:c r="T9" s="11">
        <x:f>IF(H9="","",MAX(0,MIN(100,(H9/Setup!$B$6)*100)))</x:f>
      </x:c>
      <x:c r="U9" s="11">
        <x:f>IF(P9="","",IFERROR(IF(E9&gt;=VLOOKUP(P9,Reference!$A$2:$H$21,7,FALSE),100,IF(E9&gt;=VLOOKUP(P9,Reference!$A$2:$H$21,6,FALSE),85,60)), ""))</x:f>
      </x:c>
      <x:c r="V9" s="11">
        <x:f>IF(COUNTA(Q9:U9)=0,"",ROUND((Q9*Setup!$B$11+R9*Setup!$B$12+S9*Setup!$B$13+T9*Setup!$B$14+U9*Setup!$B$15)/100,1))</x:f>
        <x:v>0</x:v>
      </x:c>
    </x:row>
    <x:row r="10">
      <x:c r="A10" t="n">
        <x:v>8</x:v>
      </x:c>
      <x:c r="B10" s="5" t="n"/>
      <x:c r="C10" s="5" t="n"/>
      <x:c r="D10" s="5" t="n"/>
      <x:c r="E10" s="3" t="n"/>
      <x:c r="F10" s="5" t="n"/>
      <x:c r="G10" s="5" t="n"/>
      <x:c r="H10" s="4" t="n"/>
      <x:c r="I10" s="4" t="n"/>
      <x:c r="J10" s="4" t="n"/>
      <x:c r="K10" s="4" t="n"/>
      <x:c r="L10" s="5" t="n"/>
      <x:c r="M10" s="5" t="n"/>
      <x:c r="N10" s="3" t="n"/>
      <x:c r="O10" s="5" t="n"/>
      <x:c r="P10">
        <x:f>IF(OR(C10="",D10=""),"",C10&amp;"|"&amp;D10)</x:f>
      </x:c>
      <x:c r="Q10" s="11">
        <x:f>IF(E10="","",MAX(0,MIN(100,(E10/Setup!$B$3)*100)))</x:f>
      </x:c>
      <x:c r="R10" s="11">
        <x:f>IF(F10="","",MAX(0,MIN(100,100-(MAX(0,F10-Setup!$B$4)*8))))</x:f>
      </x:c>
      <x:c r="S10" s="11">
        <x:f>IF(G10="","",MAX(0,MIN(100,(G10/Setup!$B$5)*100)))</x:f>
      </x:c>
      <x:c r="T10" s="11">
        <x:f>IF(H10="","",MAX(0,MIN(100,(H10/Setup!$B$6)*100)))</x:f>
      </x:c>
      <x:c r="U10" s="11">
        <x:f>IF(P10="","",IFERROR(IF(E10&gt;=VLOOKUP(P10,Reference!$A$2:$H$21,7,FALSE),100,IF(E10&gt;=VLOOKUP(P10,Reference!$A$2:$H$21,6,FALSE),85,60)), ""))</x:f>
      </x:c>
      <x:c r="V10" s="11">
        <x:f>IF(COUNTA(Q10:U10)=0,"",ROUND((Q10*Setup!$B$11+R10*Setup!$B$12+S10*Setup!$B$13+T10*Setup!$B$14+U10*Setup!$B$15)/100,1))</x:f>
        <x:v>0</x:v>
      </x:c>
    </x:row>
    <x:row r="11">
      <x:c r="A11" t="n">
        <x:v>9</x:v>
      </x:c>
      <x:c r="B11" s="5" t="n"/>
      <x:c r="C11" s="5" t="n"/>
      <x:c r="D11" s="5" t="n"/>
      <x:c r="E11" s="3" t="n"/>
      <x:c r="F11" s="5" t="n"/>
      <x:c r="G11" s="5" t="n"/>
      <x:c r="H11" s="4" t="n"/>
      <x:c r="I11" s="4" t="n"/>
      <x:c r="J11" s="4" t="n"/>
      <x:c r="K11" s="4" t="n"/>
      <x:c r="L11" s="5" t="n"/>
      <x:c r="M11" s="5" t="n"/>
      <x:c r="N11" s="3" t="n"/>
      <x:c r="O11" s="5" t="n"/>
      <x:c r="P11">
        <x:f>IF(OR(C11="",D11=""),"",C11&amp;"|"&amp;D11)</x:f>
      </x:c>
      <x:c r="Q11" s="11">
        <x:f>IF(E11="","",MAX(0,MIN(100,(E11/Setup!$B$3)*100)))</x:f>
      </x:c>
      <x:c r="R11" s="11">
        <x:f>IF(F11="","",MAX(0,MIN(100,100-(MAX(0,F11-Setup!$B$4)*8))))</x:f>
      </x:c>
      <x:c r="S11" s="11">
        <x:f>IF(G11="","",MAX(0,MIN(100,(G11/Setup!$B$5)*100)))</x:f>
      </x:c>
      <x:c r="T11" s="11">
        <x:f>IF(H11="","",MAX(0,MIN(100,(H11/Setup!$B$6)*100)))</x:f>
      </x:c>
      <x:c r="U11" s="11">
        <x:f>IF(P11="","",IFERROR(IF(E11&gt;=VLOOKUP(P11,Reference!$A$2:$H$21,7,FALSE),100,IF(E11&gt;=VLOOKUP(P11,Reference!$A$2:$H$21,6,FALSE),85,60)), ""))</x:f>
      </x:c>
      <x:c r="V11" s="11">
        <x:f>IF(COUNTA(Q11:U11)=0,"",ROUND((Q11*Setup!$B$11+R11*Setup!$B$12+S11*Setup!$B$13+T11*Setup!$B$14+U11*Setup!$B$15)/100,1))</x:f>
        <x:v>0</x:v>
      </x:c>
    </x:row>
    <x:row r="12">
      <x:c r="A12" t="n">
        <x:v>10</x:v>
      </x:c>
      <x:c r="B12" s="5" t="n"/>
      <x:c r="C12" s="5" t="n"/>
      <x:c r="D12" s="5" t="n"/>
      <x:c r="E12" s="3" t="n"/>
      <x:c r="F12" s="5" t="n"/>
      <x:c r="G12" s="5" t="n"/>
      <x:c r="H12" s="4" t="n"/>
      <x:c r="I12" s="4" t="n"/>
      <x:c r="J12" s="4" t="n"/>
      <x:c r="K12" s="4" t="n"/>
      <x:c r="L12" s="5" t="n"/>
      <x:c r="M12" s="5" t="n"/>
      <x:c r="N12" s="3" t="n"/>
      <x:c r="O12" s="5" t="n"/>
      <x:c r="P12">
        <x:f>IF(OR(C12="",D12=""),"",C12&amp;"|"&amp;D12)</x:f>
      </x:c>
      <x:c r="Q12" s="11">
        <x:f>IF(E12="","",MAX(0,MIN(100,(E12/Setup!$B$3)*100)))</x:f>
      </x:c>
      <x:c r="R12" s="11">
        <x:f>IF(F12="","",MAX(0,MIN(100,100-(MAX(0,F12-Setup!$B$4)*8))))</x:f>
      </x:c>
      <x:c r="S12" s="11">
        <x:f>IF(G12="","",MAX(0,MIN(100,(G12/Setup!$B$5)*100)))</x:f>
      </x:c>
      <x:c r="T12" s="11">
        <x:f>IF(H12="","",MAX(0,MIN(100,(H12/Setup!$B$6)*100)))</x:f>
      </x:c>
      <x:c r="U12" s="11">
        <x:f>IF(P12="","",IFERROR(IF(E12&gt;=VLOOKUP(P12,Reference!$A$2:$H$21,7,FALSE),100,IF(E12&gt;=VLOOKUP(P12,Reference!$A$2:$H$21,6,FALSE),85,60)), ""))</x:f>
      </x:c>
      <x:c r="V12" s="11">
        <x:f>IF(COUNTA(Q12:U12)=0,"",ROUND((Q12*Setup!$B$11+R12*Setup!$B$12+S12*Setup!$B$13+T12*Setup!$B$14+U12*Setup!$B$15)/100,1))</x:f>
        <x:v>0</x:v>
      </x:c>
    </x:row>
    <x:row r="13">
      <x:c r="A13" t="n">
        <x:v>11</x:v>
      </x:c>
      <x:c r="B13" s="5" t="n"/>
      <x:c r="C13" s="5" t="n"/>
      <x:c r="D13" s="5" t="n"/>
      <x:c r="E13" s="3" t="n"/>
      <x:c r="F13" s="5" t="n"/>
      <x:c r="G13" s="5" t="n"/>
      <x:c r="H13" s="4" t="n"/>
      <x:c r="I13" s="4" t="n"/>
      <x:c r="J13" s="4" t="n"/>
      <x:c r="K13" s="4" t="n"/>
      <x:c r="L13" s="5" t="n"/>
      <x:c r="M13" s="5" t="n"/>
      <x:c r="N13" s="3" t="n"/>
      <x:c r="O13" s="5" t="n"/>
      <x:c r="P13">
        <x:f>IF(OR(C13="",D13=""),"",C13&amp;"|"&amp;D13)</x:f>
      </x:c>
      <x:c r="Q13" s="11">
        <x:f>IF(E13="","",MAX(0,MIN(100,(E13/Setup!$B$3)*100)))</x:f>
      </x:c>
      <x:c r="R13" s="11">
        <x:f>IF(F13="","",MAX(0,MIN(100,100-(MAX(0,F13-Setup!$B$4)*8))))</x:f>
      </x:c>
      <x:c r="S13" s="11">
        <x:f>IF(G13="","",MAX(0,MIN(100,(G13/Setup!$B$5)*100)))</x:f>
      </x:c>
      <x:c r="T13" s="11">
        <x:f>IF(H13="","",MAX(0,MIN(100,(H13/Setup!$B$6)*100)))</x:f>
      </x:c>
      <x:c r="U13" s="11">
        <x:f>IF(P13="","",IFERROR(IF(E13&gt;=VLOOKUP(P13,Reference!$A$2:$H$21,7,FALSE),100,IF(E13&gt;=VLOOKUP(P13,Reference!$A$2:$H$21,6,FALSE),85,60)), ""))</x:f>
      </x:c>
      <x:c r="V13" s="11">
        <x:f>IF(COUNTA(Q13:U13)=0,"",ROUND((Q13*Setup!$B$11+R13*Setup!$B$12+S13*Setup!$B$13+T13*Setup!$B$14+U13*Setup!$B$15)/100,1))</x:f>
        <x:v>0</x:v>
      </x:c>
    </x:row>
    <x:row r="14">
      <x:c r="A14" t="n">
        <x:v>12</x:v>
      </x:c>
      <x:c r="B14" s="5" t="n"/>
      <x:c r="C14" s="5" t="n"/>
      <x:c r="D14" s="5" t="n"/>
      <x:c r="E14" s="3" t="n"/>
      <x:c r="F14" s="5" t="n"/>
      <x:c r="G14" s="5" t="n"/>
      <x:c r="H14" s="4" t="n"/>
      <x:c r="I14" s="4" t="n"/>
      <x:c r="J14" s="4" t="n"/>
      <x:c r="K14" s="4" t="n"/>
      <x:c r="L14" s="5" t="n"/>
      <x:c r="M14" s="5" t="n"/>
      <x:c r="N14" s="3" t="n"/>
      <x:c r="O14" s="5" t="n"/>
      <x:c r="P14">
        <x:f>IF(OR(C14="",D14=""),"",C14&amp;"|"&amp;D14)</x:f>
      </x:c>
      <x:c r="Q14" s="11">
        <x:f>IF(E14="","",MAX(0,MIN(100,(E14/Setup!$B$3)*100)))</x:f>
      </x:c>
      <x:c r="R14" s="11">
        <x:f>IF(F14="","",MAX(0,MIN(100,100-(MAX(0,F14-Setup!$B$4)*8))))</x:f>
      </x:c>
      <x:c r="S14" s="11">
        <x:f>IF(G14="","",MAX(0,MIN(100,(G14/Setup!$B$5)*100)))</x:f>
      </x:c>
      <x:c r="T14" s="11">
        <x:f>IF(H14="","",MAX(0,MIN(100,(H14/Setup!$B$6)*100)))</x:f>
      </x:c>
      <x:c r="U14" s="11">
        <x:f>IF(P14="","",IFERROR(IF(E14&gt;=VLOOKUP(P14,Reference!$A$2:$H$21,7,FALSE),100,IF(E14&gt;=VLOOKUP(P14,Reference!$A$2:$H$21,6,FALSE),85,60)), ""))</x:f>
      </x:c>
      <x:c r="V14" s="11">
        <x:f>IF(COUNTA(Q14:U14)=0,"",ROUND((Q14*Setup!$B$11+R14*Setup!$B$12+S14*Setup!$B$13+T14*Setup!$B$14+U14*Setup!$B$15)/100,1))</x:f>
        <x:v>0</x:v>
      </x:c>
    </x:row>
    <x:row r="15">
      <x:c r="A15" t="n">
        <x:v>13</x:v>
      </x:c>
      <x:c r="B15" s="5" t="n"/>
      <x:c r="C15" s="5" t="n"/>
      <x:c r="D15" s="5" t="n"/>
      <x:c r="E15" s="3" t="n"/>
      <x:c r="F15" s="5" t="n"/>
      <x:c r="G15" s="5" t="n"/>
      <x:c r="H15" s="4" t="n"/>
      <x:c r="I15" s="4" t="n"/>
      <x:c r="J15" s="4" t="n"/>
      <x:c r="K15" s="4" t="n"/>
      <x:c r="L15" s="5" t="n"/>
      <x:c r="M15" s="5" t="n"/>
      <x:c r="N15" s="3" t="n"/>
      <x:c r="O15" s="5" t="n"/>
      <x:c r="P15">
        <x:f>IF(OR(C15="",D15=""),"",C15&amp;"|"&amp;D15)</x:f>
      </x:c>
      <x:c r="Q15" s="11">
        <x:f>IF(E15="","",MAX(0,MIN(100,(E15/Setup!$B$3)*100)))</x:f>
      </x:c>
      <x:c r="R15" s="11">
        <x:f>IF(F15="","",MAX(0,MIN(100,100-(MAX(0,F15-Setup!$B$4)*8))))</x:f>
      </x:c>
      <x:c r="S15" s="11">
        <x:f>IF(G15="","",MAX(0,MIN(100,(G15/Setup!$B$5)*100)))</x:f>
      </x:c>
      <x:c r="T15" s="11">
        <x:f>IF(H15="","",MAX(0,MIN(100,(H15/Setup!$B$6)*100)))</x:f>
      </x:c>
      <x:c r="U15" s="11">
        <x:f>IF(P15="","",IFERROR(IF(E15&gt;=VLOOKUP(P15,Reference!$A$2:$H$21,7,FALSE),100,IF(E15&gt;=VLOOKUP(P15,Reference!$A$2:$H$21,6,FALSE),85,60)), ""))</x:f>
      </x:c>
      <x:c r="V15" s="11">
        <x:f>IF(COUNTA(Q15:U15)=0,"",ROUND((Q15*Setup!$B$11+R15*Setup!$B$12+S15*Setup!$B$13+T15*Setup!$B$14+U15*Setup!$B$15)/100,1))</x:f>
        <x:v>0</x:v>
      </x:c>
    </x:row>
    <x:row r="16">
      <x:c r="A16" t="n">
        <x:v>14</x:v>
      </x:c>
      <x:c r="B16" s="5" t="n"/>
      <x:c r="C16" s="5" t="n"/>
      <x:c r="D16" s="5" t="n"/>
      <x:c r="E16" s="3" t="n"/>
      <x:c r="F16" s="5" t="n"/>
      <x:c r="G16" s="5" t="n"/>
      <x:c r="H16" s="4" t="n"/>
      <x:c r="I16" s="4" t="n"/>
      <x:c r="J16" s="4" t="n"/>
      <x:c r="K16" s="4" t="n"/>
      <x:c r="L16" s="5" t="n"/>
      <x:c r="M16" s="5" t="n"/>
      <x:c r="N16" s="3" t="n"/>
      <x:c r="O16" s="5" t="n"/>
      <x:c r="P16">
        <x:f>IF(OR(C16="",D16=""),"",C16&amp;"|"&amp;D16)</x:f>
      </x:c>
      <x:c r="Q16" s="11">
        <x:f>IF(E16="","",MAX(0,MIN(100,(E16/Setup!$B$3)*100)))</x:f>
      </x:c>
      <x:c r="R16" s="11">
        <x:f>IF(F16="","",MAX(0,MIN(100,100-(MAX(0,F16-Setup!$B$4)*8))))</x:f>
      </x:c>
      <x:c r="S16" s="11">
        <x:f>IF(G16="","",MAX(0,MIN(100,(G16/Setup!$B$5)*100)))</x:f>
      </x:c>
      <x:c r="T16" s="11">
        <x:f>IF(H16="","",MAX(0,MIN(100,(H16/Setup!$B$6)*100)))</x:f>
      </x:c>
      <x:c r="U16" s="11">
        <x:f>IF(P16="","",IFERROR(IF(E16&gt;=VLOOKUP(P16,Reference!$A$2:$H$21,7,FALSE),100,IF(E16&gt;=VLOOKUP(P16,Reference!$A$2:$H$21,6,FALSE),85,60)), ""))</x:f>
      </x:c>
      <x:c r="V16" s="11">
        <x:f>IF(COUNTA(Q16:U16)=0,"",ROUND((Q16*Setup!$B$11+R16*Setup!$B$12+S16*Setup!$B$13+T16*Setup!$B$14+U16*Setup!$B$15)/100,1))</x:f>
        <x:v>0</x:v>
      </x:c>
    </x:row>
    <x:row r="17">
      <x:c r="A17" t="n">
        <x:v>15</x:v>
      </x:c>
      <x:c r="B17" s="5" t="n"/>
      <x:c r="C17" s="5" t="n"/>
      <x:c r="D17" s="5" t="n"/>
      <x:c r="E17" s="3" t="n"/>
      <x:c r="F17" s="5" t="n"/>
      <x:c r="G17" s="5" t="n"/>
      <x:c r="H17" s="4" t="n"/>
      <x:c r="I17" s="4" t="n"/>
      <x:c r="J17" s="4" t="n"/>
      <x:c r="K17" s="4" t="n"/>
      <x:c r="L17" s="5" t="n"/>
      <x:c r="M17" s="5" t="n"/>
      <x:c r="N17" s="3" t="n"/>
      <x:c r="O17" s="5" t="n"/>
      <x:c r="P17">
        <x:f>IF(OR(C17="",D17=""),"",C17&amp;"|"&amp;D17)</x:f>
      </x:c>
      <x:c r="Q17" s="11">
        <x:f>IF(E17="","",MAX(0,MIN(100,(E17/Setup!$B$3)*100)))</x:f>
      </x:c>
      <x:c r="R17" s="11">
        <x:f>IF(F17="","",MAX(0,MIN(100,100-(MAX(0,F17-Setup!$B$4)*8))))</x:f>
      </x:c>
      <x:c r="S17" s="11">
        <x:f>IF(G17="","",MAX(0,MIN(100,(G17/Setup!$B$5)*100)))</x:f>
      </x:c>
      <x:c r="T17" s="11">
        <x:f>IF(H17="","",MAX(0,MIN(100,(H17/Setup!$B$6)*100)))</x:f>
      </x:c>
      <x:c r="U17" s="11">
        <x:f>IF(P17="","",IFERROR(IF(E17&gt;=VLOOKUP(P17,Reference!$A$2:$H$21,7,FALSE),100,IF(E17&gt;=VLOOKUP(P17,Reference!$A$2:$H$21,6,FALSE),85,60)), ""))</x:f>
      </x:c>
      <x:c r="V17" s="11">
        <x:f>IF(COUNTA(Q17:U17)=0,"",ROUND((Q17*Setup!$B$11+R17*Setup!$B$12+S17*Setup!$B$13+T17*Setup!$B$14+U17*Setup!$B$15)/100,1))</x:f>
        <x:v>0</x:v>
      </x:c>
    </x:row>
    <x:row r="18">
      <x:c r="A18" t="n">
        <x:v>16</x:v>
      </x:c>
      <x:c r="B18" s="5" t="n"/>
      <x:c r="C18" s="5" t="n"/>
      <x:c r="D18" s="5" t="n"/>
      <x:c r="E18" s="3" t="n"/>
      <x:c r="F18" s="5" t="n"/>
      <x:c r="G18" s="5" t="n"/>
      <x:c r="H18" s="4" t="n"/>
      <x:c r="I18" s="4" t="n"/>
      <x:c r="J18" s="4" t="n"/>
      <x:c r="K18" s="4" t="n"/>
      <x:c r="L18" s="5" t="n"/>
      <x:c r="M18" s="5" t="n"/>
      <x:c r="N18" s="3" t="n"/>
      <x:c r="O18" s="5" t="n"/>
      <x:c r="P18">
        <x:f>IF(OR(C18="",D18=""),"",C18&amp;"|"&amp;D18)</x:f>
      </x:c>
      <x:c r="Q18" s="11">
        <x:f>IF(E18="","",MAX(0,MIN(100,(E18/Setup!$B$3)*100)))</x:f>
      </x:c>
      <x:c r="R18" s="11">
        <x:f>IF(F18="","",MAX(0,MIN(100,100-(MAX(0,F18-Setup!$B$4)*8))))</x:f>
      </x:c>
      <x:c r="S18" s="11">
        <x:f>IF(G18="","",MAX(0,MIN(100,(G18/Setup!$B$5)*100)))</x:f>
      </x:c>
      <x:c r="T18" s="11">
        <x:f>IF(H18="","",MAX(0,MIN(100,(H18/Setup!$B$6)*100)))</x:f>
      </x:c>
      <x:c r="U18" s="11">
        <x:f>IF(P18="","",IFERROR(IF(E18&gt;=VLOOKUP(P18,Reference!$A$2:$H$21,7,FALSE),100,IF(E18&gt;=VLOOKUP(P18,Reference!$A$2:$H$21,6,FALSE),85,60)), ""))</x:f>
      </x:c>
      <x:c r="V18" s="11">
        <x:f>IF(COUNTA(Q18:U18)=0,"",ROUND((Q18*Setup!$B$11+R18*Setup!$B$12+S18*Setup!$B$13+T18*Setup!$B$14+U18*Setup!$B$15)/100,1))</x:f>
        <x:v>0</x:v>
      </x:c>
    </x:row>
    <x:row r="19">
      <x:c r="A19" t="n">
        <x:v>17</x:v>
      </x:c>
      <x:c r="B19" s="5" t="n"/>
      <x:c r="C19" s="5" t="n"/>
      <x:c r="D19" s="5" t="n"/>
      <x:c r="E19" s="3" t="n"/>
      <x:c r="F19" s="5" t="n"/>
      <x:c r="G19" s="5" t="n"/>
      <x:c r="H19" s="4" t="n"/>
      <x:c r="I19" s="4" t="n"/>
      <x:c r="J19" s="4" t="n"/>
      <x:c r="K19" s="4" t="n"/>
      <x:c r="L19" s="5" t="n"/>
      <x:c r="M19" s="5" t="n"/>
      <x:c r="N19" s="3" t="n"/>
      <x:c r="O19" s="5" t="n"/>
      <x:c r="P19">
        <x:f>IF(OR(C19="",D19=""),"",C19&amp;"|"&amp;D19)</x:f>
      </x:c>
      <x:c r="Q19" s="11">
        <x:f>IF(E19="","",MAX(0,MIN(100,(E19/Setup!$B$3)*100)))</x:f>
      </x:c>
      <x:c r="R19" s="11">
        <x:f>IF(F19="","",MAX(0,MIN(100,100-(MAX(0,F19-Setup!$B$4)*8))))</x:f>
      </x:c>
      <x:c r="S19" s="11">
        <x:f>IF(G19="","",MAX(0,MIN(100,(G19/Setup!$B$5)*100)))</x:f>
      </x:c>
      <x:c r="T19" s="11">
        <x:f>IF(H19="","",MAX(0,MIN(100,(H19/Setup!$B$6)*100)))</x:f>
      </x:c>
      <x:c r="U19" s="11">
        <x:f>IF(P19="","",IFERROR(IF(E19&gt;=VLOOKUP(P19,Reference!$A$2:$H$21,7,FALSE),100,IF(E19&gt;=VLOOKUP(P19,Reference!$A$2:$H$21,6,FALSE),85,60)), ""))</x:f>
      </x:c>
      <x:c r="V19" s="11">
        <x:f>IF(COUNTA(Q19:U19)=0,"",ROUND((Q19*Setup!$B$11+R19*Setup!$B$12+S19*Setup!$B$13+T19*Setup!$B$14+U19*Setup!$B$15)/100,1))</x:f>
        <x:v>0</x:v>
      </x:c>
    </x:row>
    <x:row r="20">
      <x:c r="A20" t="n">
        <x:v>18</x:v>
      </x:c>
      <x:c r="B20" s="5" t="n"/>
      <x:c r="C20" s="5" t="n"/>
      <x:c r="D20" s="5" t="n"/>
      <x:c r="E20" s="3" t="n"/>
      <x:c r="F20" s="5" t="n"/>
      <x:c r="G20" s="5" t="n"/>
      <x:c r="H20" s="4" t="n"/>
      <x:c r="I20" s="4" t="n"/>
      <x:c r="J20" s="4" t="n"/>
      <x:c r="K20" s="4" t="n"/>
      <x:c r="L20" s="5" t="n"/>
      <x:c r="M20" s="5" t="n"/>
      <x:c r="N20" s="3" t="n"/>
      <x:c r="O20" s="5" t="n"/>
      <x:c r="P20">
        <x:f>IF(OR(C20="",D20=""),"",C20&amp;"|"&amp;D20)</x:f>
      </x:c>
      <x:c r="Q20" s="11">
        <x:f>IF(E20="","",MAX(0,MIN(100,(E20/Setup!$B$3)*100)))</x:f>
      </x:c>
      <x:c r="R20" s="11">
        <x:f>IF(F20="","",MAX(0,MIN(100,100-(MAX(0,F20-Setup!$B$4)*8))))</x:f>
      </x:c>
      <x:c r="S20" s="11">
        <x:f>IF(G20="","",MAX(0,MIN(100,(G20/Setup!$B$5)*100)))</x:f>
      </x:c>
      <x:c r="T20" s="11">
        <x:f>IF(H20="","",MAX(0,MIN(100,(H20/Setup!$B$6)*100)))</x:f>
      </x:c>
      <x:c r="U20" s="11">
        <x:f>IF(P20="","",IFERROR(IF(E20&gt;=VLOOKUP(P20,Reference!$A$2:$H$21,7,FALSE),100,IF(E20&gt;=VLOOKUP(P20,Reference!$A$2:$H$21,6,FALSE),85,60)), ""))</x:f>
      </x:c>
      <x:c r="V20" s="11">
        <x:f>IF(COUNTA(Q20:U20)=0,"",ROUND((Q20*Setup!$B$11+R20*Setup!$B$12+S20*Setup!$B$13+T20*Setup!$B$14+U20*Setup!$B$15)/100,1))</x:f>
        <x:v>0</x:v>
      </x:c>
    </x:row>
    <x:row r="21">
      <x:c r="A21" t="n">
        <x:v>19</x:v>
      </x:c>
      <x:c r="B21" s="5" t="n"/>
      <x:c r="C21" s="5" t="n"/>
      <x:c r="D21" s="5" t="n"/>
      <x:c r="E21" s="3" t="n"/>
      <x:c r="F21" s="5" t="n"/>
      <x:c r="G21" s="5" t="n"/>
      <x:c r="H21" s="4" t="n"/>
      <x:c r="I21" s="4" t="n"/>
      <x:c r="J21" s="4" t="n"/>
      <x:c r="K21" s="4" t="n"/>
      <x:c r="L21" s="5" t="n"/>
      <x:c r="M21" s="5" t="n"/>
      <x:c r="N21" s="3" t="n"/>
      <x:c r="O21" s="5" t="n"/>
      <x:c r="P21">
        <x:f>IF(OR(C21="",D21=""),"",C21&amp;"|"&amp;D21)</x:f>
      </x:c>
      <x:c r="Q21" s="11">
        <x:f>IF(E21="","",MAX(0,MIN(100,(E21/Setup!$B$3)*100)))</x:f>
      </x:c>
      <x:c r="R21" s="11">
        <x:f>IF(F21="","",MAX(0,MIN(100,100-(MAX(0,F21-Setup!$B$4)*8))))</x:f>
      </x:c>
      <x:c r="S21" s="11">
        <x:f>IF(G21="","",MAX(0,MIN(100,(G21/Setup!$B$5)*100)))</x:f>
      </x:c>
      <x:c r="T21" s="11">
        <x:f>IF(H21="","",MAX(0,MIN(100,(H21/Setup!$B$6)*100)))</x:f>
      </x:c>
      <x:c r="U21" s="11">
        <x:f>IF(P21="","",IFERROR(IF(E21&gt;=VLOOKUP(P21,Reference!$A$2:$H$21,7,FALSE),100,IF(E21&gt;=VLOOKUP(P21,Reference!$A$2:$H$21,6,FALSE),85,60)), ""))</x:f>
      </x:c>
      <x:c r="V21" s="11">
        <x:f>IF(COUNTA(Q21:U21)=0,"",ROUND((Q21*Setup!$B$11+R21*Setup!$B$12+S21*Setup!$B$13+T21*Setup!$B$14+U21*Setup!$B$15)/100,1))</x:f>
        <x:v>0</x:v>
      </x:c>
    </x:row>
    <x:row r="22">
      <x:c r="A22" t="n">
        <x:v>20</x:v>
      </x:c>
      <x:c r="B22" s="5" t="n"/>
      <x:c r="C22" s="5" t="n"/>
      <x:c r="D22" s="5" t="n"/>
      <x:c r="E22" s="3" t="n"/>
      <x:c r="F22" s="5" t="n"/>
      <x:c r="G22" s="5" t="n"/>
      <x:c r="H22" s="4" t="n"/>
      <x:c r="I22" s="4" t="n"/>
      <x:c r="J22" s="4" t="n"/>
      <x:c r="K22" s="4" t="n"/>
      <x:c r="L22" s="5" t="n"/>
      <x:c r="M22" s="5" t="n"/>
      <x:c r="N22" s="3" t="n"/>
      <x:c r="O22" s="5" t="n"/>
      <x:c r="P22">
        <x:f>IF(OR(C22="",D22=""),"",C22&amp;"|"&amp;D22)</x:f>
      </x:c>
      <x:c r="Q22" s="11">
        <x:f>IF(E22="","",MAX(0,MIN(100,(E22/Setup!$B$3)*100)))</x:f>
      </x:c>
      <x:c r="R22" s="11">
        <x:f>IF(F22="","",MAX(0,MIN(100,100-(MAX(0,F22-Setup!$B$4)*8))))</x:f>
      </x:c>
      <x:c r="S22" s="11">
        <x:f>IF(G22="","",MAX(0,MIN(100,(G22/Setup!$B$5)*100)))</x:f>
      </x:c>
      <x:c r="T22" s="11">
        <x:f>IF(H22="","",MAX(0,MIN(100,(H22/Setup!$B$6)*100)))</x:f>
      </x:c>
      <x:c r="U22" s="11">
        <x:f>IF(P22="","",IFERROR(IF(E22&gt;=VLOOKUP(P22,Reference!$A$2:$H$21,7,FALSE),100,IF(E22&gt;=VLOOKUP(P22,Reference!$A$2:$H$21,6,FALSE),85,60)), ""))</x:f>
      </x:c>
      <x:c r="V22" s="11">
        <x:f>IF(COUNTA(Q22:U22)=0,"",ROUND((Q22*Setup!$B$11+R22*Setup!$B$12+S22*Setup!$B$13+T22*Setup!$B$14+U22*Setup!$B$15)/100,1))</x:f>
        <x:v>0</x:v>
      </x:c>
    </x:row>
    <x:row r="23">
      <x:c r="A23" t="n">
        <x:v>21</x:v>
      </x:c>
      <x:c r="B23" s="5" t="n"/>
      <x:c r="C23" s="5" t="n"/>
      <x:c r="D23" s="5" t="n"/>
      <x:c r="E23" s="3" t="n"/>
      <x:c r="F23" s="5" t="n"/>
      <x:c r="G23" s="5" t="n"/>
      <x:c r="H23" s="4" t="n"/>
      <x:c r="I23" s="4" t="n"/>
      <x:c r="J23" s="4" t="n"/>
      <x:c r="K23" s="4" t="n"/>
      <x:c r="L23" s="5" t="n"/>
      <x:c r="M23" s="5" t="n"/>
      <x:c r="N23" s="3" t="n"/>
      <x:c r="O23" s="5" t="n"/>
      <x:c r="P23">
        <x:f>IF(OR(C23="",D23=""),"",C23&amp;"|"&amp;D23)</x:f>
      </x:c>
      <x:c r="Q23" s="11">
        <x:f>IF(E23="","",MAX(0,MIN(100,(E23/Setup!$B$3)*100)))</x:f>
      </x:c>
      <x:c r="R23" s="11">
        <x:f>IF(F23="","",MAX(0,MIN(100,100-(MAX(0,F23-Setup!$B$4)*8))))</x:f>
      </x:c>
      <x:c r="S23" s="11">
        <x:f>IF(G23="","",MAX(0,MIN(100,(G23/Setup!$B$5)*100)))</x:f>
      </x:c>
      <x:c r="T23" s="11">
        <x:f>IF(H23="","",MAX(0,MIN(100,(H23/Setup!$B$6)*100)))</x:f>
      </x:c>
      <x:c r="U23" s="11">
        <x:f>IF(P23="","",IFERROR(IF(E23&gt;=VLOOKUP(P23,Reference!$A$2:$H$21,7,FALSE),100,IF(E23&gt;=VLOOKUP(P23,Reference!$A$2:$H$21,6,FALSE),85,60)), ""))</x:f>
      </x:c>
      <x:c r="V23" s="11">
        <x:f>IF(COUNTA(Q23:U23)=0,"",ROUND((Q23*Setup!$B$11+R23*Setup!$B$12+S23*Setup!$B$13+T23*Setup!$B$14+U23*Setup!$B$15)/100,1))</x:f>
        <x:v>0</x:v>
      </x:c>
    </x:row>
    <x:row r="24">
      <x:c r="A24" t="n">
        <x:v>22</x:v>
      </x:c>
      <x:c r="B24" s="5" t="n"/>
      <x:c r="C24" s="5" t="n"/>
      <x:c r="D24" s="5" t="n"/>
      <x:c r="E24" s="3" t="n"/>
      <x:c r="F24" s="5" t="n"/>
      <x:c r="G24" s="5" t="n"/>
      <x:c r="H24" s="4" t="n"/>
      <x:c r="I24" s="4" t="n"/>
      <x:c r="J24" s="4" t="n"/>
      <x:c r="K24" s="4" t="n"/>
      <x:c r="L24" s="5" t="n"/>
      <x:c r="M24" s="5" t="n"/>
      <x:c r="N24" s="3" t="n"/>
      <x:c r="O24" s="5" t="n"/>
      <x:c r="P24">
        <x:f>IF(OR(C24="",D24=""),"",C24&amp;"|"&amp;D24)</x:f>
      </x:c>
      <x:c r="Q24" s="11">
        <x:f>IF(E24="","",MAX(0,MIN(100,(E24/Setup!$B$3)*100)))</x:f>
      </x:c>
      <x:c r="R24" s="11">
        <x:f>IF(F24="","",MAX(0,MIN(100,100-(MAX(0,F24-Setup!$B$4)*8))))</x:f>
      </x:c>
      <x:c r="S24" s="11">
        <x:f>IF(G24="","",MAX(0,MIN(100,(G24/Setup!$B$5)*100)))</x:f>
      </x:c>
      <x:c r="T24" s="11">
        <x:f>IF(H24="","",MAX(0,MIN(100,(H24/Setup!$B$6)*100)))</x:f>
      </x:c>
      <x:c r="U24" s="11">
        <x:f>IF(P24="","",IFERROR(IF(E24&gt;=VLOOKUP(P24,Reference!$A$2:$H$21,7,FALSE),100,IF(E24&gt;=VLOOKUP(P24,Reference!$A$2:$H$21,6,FALSE),85,60)), ""))</x:f>
      </x:c>
      <x:c r="V24" s="11">
        <x:f>IF(COUNTA(Q24:U24)=0,"",ROUND((Q24*Setup!$B$11+R24*Setup!$B$12+S24*Setup!$B$13+T24*Setup!$B$14+U24*Setup!$B$15)/100,1))</x:f>
        <x:v>0</x:v>
      </x:c>
    </x:row>
    <x:row r="25">
      <x:c r="A25" t="n">
        <x:v>23</x:v>
      </x:c>
      <x:c r="B25" s="5" t="n"/>
      <x:c r="C25" s="5" t="n"/>
      <x:c r="D25" s="5" t="n"/>
      <x:c r="E25" s="3" t="n"/>
      <x:c r="F25" s="5" t="n"/>
      <x:c r="G25" s="5" t="n"/>
      <x:c r="H25" s="4" t="n"/>
      <x:c r="I25" s="4" t="n"/>
      <x:c r="J25" s="4" t="n"/>
      <x:c r="K25" s="4" t="n"/>
      <x:c r="L25" s="5" t="n"/>
      <x:c r="M25" s="5" t="n"/>
      <x:c r="N25" s="3" t="n"/>
      <x:c r="O25" s="5" t="n"/>
      <x:c r="P25">
        <x:f>IF(OR(C25="",D25=""),"",C25&amp;"|"&amp;D25)</x:f>
      </x:c>
      <x:c r="Q25" s="11">
        <x:f>IF(E25="","",MAX(0,MIN(100,(E25/Setup!$B$3)*100)))</x:f>
      </x:c>
      <x:c r="R25" s="11">
        <x:f>IF(F25="","",MAX(0,MIN(100,100-(MAX(0,F25-Setup!$B$4)*8))))</x:f>
      </x:c>
      <x:c r="S25" s="11">
        <x:f>IF(G25="","",MAX(0,MIN(100,(G25/Setup!$B$5)*100)))</x:f>
      </x:c>
      <x:c r="T25" s="11">
        <x:f>IF(H25="","",MAX(0,MIN(100,(H25/Setup!$B$6)*100)))</x:f>
      </x:c>
      <x:c r="U25" s="11">
        <x:f>IF(P25="","",IFERROR(IF(E25&gt;=VLOOKUP(P25,Reference!$A$2:$H$21,7,FALSE),100,IF(E25&gt;=VLOOKUP(P25,Reference!$A$2:$H$21,6,FALSE),85,60)), ""))</x:f>
      </x:c>
      <x:c r="V25" s="11">
        <x:f>IF(COUNTA(Q25:U25)=0,"",ROUND((Q25*Setup!$B$11+R25*Setup!$B$12+S25*Setup!$B$13+T25*Setup!$B$14+U25*Setup!$B$15)/100,1))</x:f>
        <x:v>0</x:v>
      </x:c>
    </x:row>
    <x:row r="26">
      <x:c r="A26" t="n">
        <x:v>24</x:v>
      </x:c>
      <x:c r="B26" s="5" t="n"/>
      <x:c r="C26" s="5" t="n"/>
      <x:c r="D26" s="5" t="n"/>
      <x:c r="E26" s="3" t="n"/>
      <x:c r="F26" s="5" t="n"/>
      <x:c r="G26" s="5" t="n"/>
      <x:c r="H26" s="4" t="n"/>
      <x:c r="I26" s="4" t="n"/>
      <x:c r="J26" s="4" t="n"/>
      <x:c r="K26" s="4" t="n"/>
      <x:c r="L26" s="5" t="n"/>
      <x:c r="M26" s="5" t="n"/>
      <x:c r="N26" s="3" t="n"/>
      <x:c r="O26" s="5" t="n"/>
      <x:c r="P26">
        <x:f>IF(OR(C26="",D26=""),"",C26&amp;"|"&amp;D26)</x:f>
      </x:c>
      <x:c r="Q26" s="11">
        <x:f>IF(E26="","",MAX(0,MIN(100,(E26/Setup!$B$3)*100)))</x:f>
      </x:c>
      <x:c r="R26" s="11">
        <x:f>IF(F26="","",MAX(0,MIN(100,100-(MAX(0,F26-Setup!$B$4)*8))))</x:f>
      </x:c>
      <x:c r="S26" s="11">
        <x:f>IF(G26="","",MAX(0,MIN(100,(G26/Setup!$B$5)*100)))</x:f>
      </x:c>
      <x:c r="T26" s="11">
        <x:f>IF(H26="","",MAX(0,MIN(100,(H26/Setup!$B$6)*100)))</x:f>
      </x:c>
      <x:c r="U26" s="11">
        <x:f>IF(P26="","",IFERROR(IF(E26&gt;=VLOOKUP(P26,Reference!$A$2:$H$21,7,FALSE),100,IF(E26&gt;=VLOOKUP(P26,Reference!$A$2:$H$21,6,FALSE),85,60)), ""))</x:f>
      </x:c>
      <x:c r="V26" s="11">
        <x:f>IF(COUNTA(Q26:U26)=0,"",ROUND((Q26*Setup!$B$11+R26*Setup!$B$12+S26*Setup!$B$13+T26*Setup!$B$14+U26*Setup!$B$15)/100,1))</x:f>
        <x:v>0</x:v>
      </x:c>
    </x:row>
    <x:row r="27">
      <x:c r="A27" t="n">
        <x:v>25</x:v>
      </x:c>
      <x:c r="B27" s="5" t="n"/>
      <x:c r="C27" s="5" t="n"/>
      <x:c r="D27" s="5" t="n"/>
      <x:c r="E27" s="3" t="n"/>
      <x:c r="F27" s="5" t="n"/>
      <x:c r="G27" s="5" t="n"/>
      <x:c r="H27" s="4" t="n"/>
      <x:c r="I27" s="4" t="n"/>
      <x:c r="J27" s="4" t="n"/>
      <x:c r="K27" s="4" t="n"/>
      <x:c r="L27" s="5" t="n"/>
      <x:c r="M27" s="5" t="n"/>
      <x:c r="N27" s="3" t="n"/>
      <x:c r="O27" s="5" t="n"/>
      <x:c r="P27">
        <x:f>IF(OR(C27="",D27=""),"",C27&amp;"|"&amp;D27)</x:f>
      </x:c>
      <x:c r="Q27" s="11">
        <x:f>IF(E27="","",MAX(0,MIN(100,(E27/Setup!$B$3)*100)))</x:f>
      </x:c>
      <x:c r="R27" s="11">
        <x:f>IF(F27="","",MAX(0,MIN(100,100-(MAX(0,F27-Setup!$B$4)*8))))</x:f>
      </x:c>
      <x:c r="S27" s="11">
        <x:f>IF(G27="","",MAX(0,MIN(100,(G27/Setup!$B$5)*100)))</x:f>
      </x:c>
      <x:c r="T27" s="11">
        <x:f>IF(H27="","",MAX(0,MIN(100,(H27/Setup!$B$6)*100)))</x:f>
      </x:c>
      <x:c r="U27" s="11">
        <x:f>IF(P27="","",IFERROR(IF(E27&gt;=VLOOKUP(P27,Reference!$A$2:$H$21,7,FALSE),100,IF(E27&gt;=VLOOKUP(P27,Reference!$A$2:$H$21,6,FALSE),85,60)), ""))</x:f>
      </x:c>
      <x:c r="V27" s="11">
        <x:f>IF(COUNTA(Q27:U27)=0,"",ROUND((Q27*Setup!$B$11+R27*Setup!$B$12+S27*Setup!$B$13+T27*Setup!$B$14+U27*Setup!$B$15)/100,1))</x:f>
        <x:v>0</x:v>
      </x:c>
    </x:row>
  </x:sheetData>
  <x:mergeCells>
    <x:mergeCell ref="A1:V1"/>
  </x:mergeCells>
  <x:conditionalFormatting sqref="V3:V27">
    <x:cfRule type="colorScale" priority="1">
      <x:colorScale>
        <x:cfvo type="min"/>
        <x:cfvo type="percentile" val="50"/>
        <x:cfvo type="max"/>
        <x:color rgb="00F8696B"/>
        <x:color rgb="00FFEB84"/>
        <x:color rgb="0063BE7B"/>
      </x:colorScale>
    </x:cfRule>
  </x:conditionalFormatting>
  <x:pageMargins left="0.7" right="0.7" top="0.75" bottom="0.75" header="0.3" footer="0.3"/>
  <x:legacyDrawing xmlns:r="http://schemas.openxmlformats.org/officeDocument/2006/relationships" r:id="R84b8fd1d1dda405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22" customWidth="1"/>
    <x:col min="4" max="4" width="28" customWidth="1"/>
  </x:cols>
  <x:sheetData>
    <x:row r="1">
      <x:c r="A1" s="1" t="inlineStr">
        <x:is>
          <x:t xml:space="preserve">점수 해석 가이드</x:t>
        </x:is>
      </x:c>
    </x:row>
    <x:row r="2">
      <x:c r="A2" s="1" t="inlineStr">
        <x:is>
          <x:t xml:space="preserve">점수</x:t>
        </x:is>
      </x:c>
      <x:c r="B2" s="1" t="inlineStr">
        <x:is>
          <x:t xml:space="preserve">해석</x:t>
        </x:is>
      </x:c>
      <x:c r="C2" s="1" t="inlineStr">
        <x:is>
          <x:t xml:space="preserve">권장 행동</x:t>
        </x:is>
      </x:c>
      <x:c r="D2" s="1" t="inlineStr">
        <x:is>
          <x:t xml:space="preserve">비고</x:t>
        </x:is>
      </x:c>
    </x:row>
    <x:row r="3">
      <x:c r="A3" s="8" t="inlineStr">
        <x:is>
          <x:t xml:space="preserve">80점 이상</x:t>
        </x:is>
      </x:c>
      <x:c r="B3" s="8" t="inlineStr">
        <x:is>
          <x:t xml:space="preserve">깊게 볼 가치 있음</x:t>
        </x:is>
      </x:c>
      <x:c r="C3" s="8" t="inlineStr">
        <x:is>
          <x:t xml:space="preserve">물건자료/등기/도면/출구전략 검토</x:t>
        </x:is>
      </x:c>
      <x:c r="D3" s="8" t="inlineStr">
        <x:is>
          <x:t xml:space="preserve">숫자가 좋더라도 설계·토지 비율 확인</x:t>
        </x:is>
      </x:c>
    </x:row>
    <x:row r="4">
      <x:c r="A4" s="8" t="inlineStr">
        <x:is>
          <x:t xml:space="preserve">70~79점</x:t>
        </x:is>
      </x:c>
      <x:c r="B4" s="8" t="inlineStr">
        <x:is>
          <x:t xml:space="preserve">조건부 검토</x:t>
        </x:is>
      </x:c>
      <x:c r="C4" s="8" t="inlineStr">
        <x:is>
          <x:t xml:space="preserve">가격 협상 또는 추가 확인</x:t>
        </x:is>
      </x:c>
      <x:c r="D4" s="8" t="inlineStr">
        <x:is>
          <x:t xml:space="preserve">위치가 좋거나 CF가 약한 경우 많음</x:t>
        </x:is>
      </x:c>
    </x:row>
    <x:row r="5">
      <x:c r="A5" s="8" t="inlineStr">
        <x:is>
          <x:t xml:space="preserve">60~69점</x:t>
        </x:is>
      </x:c>
      <x:c r="B5" s="8" t="inlineStr">
        <x:is>
          <x:t xml:space="preserve">보통</x:t>
        </x:is>
      </x:c>
      <x:c r="C5" s="8" t="inlineStr">
        <x:is>
          <x:t xml:space="preserve">대안 물건과 비교</x:t>
        </x:is>
      </x:c>
      <x:c r="D5" s="8" t="inlineStr">
        <x:is>
          <x:t xml:space="preserve">1호 법인용으론 다소 애매할 수 있음</x:t>
        </x:is>
      </x:c>
    </x:row>
    <x:row r="6">
      <x:c r="A6" s="8" t="inlineStr">
        <x:is>
          <x:t xml:space="preserve">60점 미만</x:t>
        </x:is>
      </x:c>
      <x:c r="B6" s="8" t="inlineStr">
        <x:is>
          <x:t xml:space="preserve">소극 검토</x:t>
        </x:is>
      </x:c>
      <x:c r="C6" s="8" t="inlineStr">
        <x:is>
          <x:t xml:space="preserve">특수 사정 없으면 패스</x:t>
        </x:is>
      </x:c>
      <x:c r="D6" s="8" t="inlineStr">
        <x:is>
          <x:t xml:space="preserve">지나치게 비싸거나, 너무 멀거나, CF 부족</x:t>
        </x:is>
      </x:c>
    </x:row>
  </x:sheetData>
  <x:mergeCells>
    <x:mergeCell ref="A1:D1"/>
  </x:mergeCells>
  <x:pageMargins left="0.7" right="0.7" top="0.75" bottom="0.75" header="0.3" footer="0.3"/>
</x:worksheet>
</file>